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os" sheetId="2" state="visible" r:id="rId4"/>
  </sheets>
  <definedNames>
    <definedName function="false" hidden="true" localSheetId="1" name="_xlnm._FilterDatabase" vbProcedure="false">Datos!$A$1:$Y$84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<sst xmlns="http://schemas.openxmlformats.org/spreadsheetml/2006/main" count="647" uniqueCount="168">
  <si>
    <t xml:space="preserve">Resumen de Neto Ítem por actividad y tipo de comprobante</t>
  </si>
  <si>
    <t xml:space="preserve">Fuente: hoja Datos, columna I (Neto Ítem). Actividad = columna H (Descripción). Tipo de comprobante = derivado de la columna D. Versión corregida.</t>
  </si>
  <si>
    <t xml:space="preserve">Cód.</t>
  </si>
  <si>
    <t xml:space="preserve">Actividad</t>
  </si>
  <si>
    <t xml:space="preserve">FC A</t>
  </si>
  <si>
    <t xml:space="preserve">FC B</t>
  </si>
  <si>
    <t xml:space="preserve">NCR B</t>
  </si>
  <si>
    <t xml:space="preserve">Total</t>
  </si>
  <si>
    <t xml:space="preserve">4110101</t>
  </si>
  <si>
    <t xml:space="preserve">VENTA DE VINOS</t>
  </si>
  <si>
    <t xml:space="preserve">4110104</t>
  </si>
  <si>
    <t xml:space="preserve">DEGUSTAC. Y CONS. VARIAS</t>
  </si>
  <si>
    <t xml:space="preserve">Cant. de ítems</t>
  </si>
  <si>
    <t xml:space="preserve">Control</t>
  </si>
  <si>
    <t xml:space="preserve">Total Neto en Datos (col. I)</t>
  </si>
  <si>
    <t xml:space="preserve">Total del resumen</t>
  </si>
  <si>
    <t xml:space="preserve">Diferencia</t>
  </si>
  <si>
    <t xml:space="preserve">Resumen de IVA por actividad y tipo de comprobante</t>
  </si>
  <si>
    <t xml:space="preserve">Fuente: hoja Datos, columna K (IVA Insc. Ítem).</t>
  </si>
  <si>
    <t xml:space="preserve">Control IVA</t>
  </si>
  <si>
    <t xml:space="preserve">Total IVA en Datos (col. K)</t>
  </si>
  <si>
    <t xml:space="preserve">Total del resumen IVA</t>
  </si>
  <si>
    <t xml:space="preserve">Notas:</t>
  </si>
  <si>
    <t xml:space="preserve">• NCR ya viene con signo negativo en la fuente y se suma tal cual, sin invertir el signo.</t>
  </si>
  <si>
    <t xml:space="preserve">• Versión corregida: la NC B 0010-00000024 de CECILIA PIEDRABUENA pasó a NCR B, con Neto -404.628,10 y Tasa IVA 21%.</t>
  </si>
  <si>
    <t xml:space="preserve">Año - mes</t>
  </si>
  <si>
    <t xml:space="preserve">Fecha</t>
  </si>
  <si>
    <t xml:space="preserve">Tipo</t>
  </si>
  <si>
    <t xml:space="preserve">Comprobante</t>
  </si>
  <si>
    <t xml:space="preserve">Razón Social</t>
  </si>
  <si>
    <t xml:space="preserve">Tipo de Ítem</t>
  </si>
  <si>
    <t xml:space="preserve">Conc./Art.</t>
  </si>
  <si>
    <t xml:space="preserve">Descripción</t>
  </si>
  <si>
    <t xml:space="preserve">Neto Ítem</t>
  </si>
  <si>
    <t xml:space="preserve">Tasa IVA </t>
  </si>
  <si>
    <t xml:space="preserve">IVA Insc. Ítem</t>
  </si>
  <si>
    <t xml:space="preserve">No Grav. Ítem</t>
  </si>
  <si>
    <t xml:space="preserve">Desc. Ítem</t>
  </si>
  <si>
    <t xml:space="preserve">Total Ítem</t>
  </si>
  <si>
    <t xml:space="preserve">Clase</t>
  </si>
  <si>
    <t xml:space="preserve">Código Genérico</t>
  </si>
  <si>
    <t xml:space="preserve">Descripción Genérica</t>
  </si>
  <si>
    <t xml:space="preserve">Elemento Código 1</t>
  </si>
  <si>
    <t xml:space="preserve">Elemento Descripción 1</t>
  </si>
  <si>
    <t xml:space="preserve">Elemento Código 2</t>
  </si>
  <si>
    <t xml:space="preserve">Elemento Descripción 2</t>
  </si>
  <si>
    <t xml:space="preserve">Elemento Código 3</t>
  </si>
  <si>
    <t xml:space="preserve">Elemento Descripción 3</t>
  </si>
  <si>
    <t xml:space="preserve">Elemento Código 4</t>
  </si>
  <si>
    <t xml:space="preserve">Elemento Descripción 4</t>
  </si>
  <si>
    <t xml:space="preserve">Tipo (FC/NC)</t>
  </si>
  <si>
    <t xml:space="preserve">Letra</t>
  </si>
  <si>
    <t xml:space="preserve">Tipo comprobante</t>
  </si>
  <si>
    <t xml:space="preserve">2026-08</t>
  </si>
  <si>
    <t xml:space="preserve">FC</t>
  </si>
  <si>
    <t xml:space="preserve">FC B 0015 - 00009032</t>
  </si>
  <si>
    <t xml:space="preserve">Venta a Consumidor Final</t>
  </si>
  <si>
    <t xml:space="preserve">Concepto</t>
  </si>
  <si>
    <t xml:space="preserve">FC B 0015 - 00009033</t>
  </si>
  <si>
    <t xml:space="preserve">FC B 0015 - 00009034</t>
  </si>
  <si>
    <t xml:space="preserve">FC B 0015 - 00009035</t>
  </si>
  <si>
    <t xml:space="preserve">FC B 0015 - 00009036</t>
  </si>
  <si>
    <t xml:space="preserve">FC A 0010 - 00000529</t>
  </si>
  <si>
    <t xml:space="preserve">VALLES JIAME MAXIMILIANO</t>
  </si>
  <si>
    <t xml:space="preserve">FC A 0011 - 00001607</t>
  </si>
  <si>
    <t xml:space="preserve">NOFUEFERIA S.A</t>
  </si>
  <si>
    <t xml:space="preserve">FC B 0011 - 00001165</t>
  </si>
  <si>
    <t xml:space="preserve">JUAN IGNACIO ALONSO ANTICO</t>
  </si>
  <si>
    <t xml:space="preserve">FC B 0011 - 00001166</t>
  </si>
  <si>
    <t xml:space="preserve">FRANK ECHANIS</t>
  </si>
  <si>
    <t xml:space="preserve">FC B 0011 - 00001167</t>
  </si>
  <si>
    <t xml:space="preserve">MAFFONI MAXIMILIANO OSVALDO</t>
  </si>
  <si>
    <t xml:space="preserve">FC B 0015 - 00009037</t>
  </si>
  <si>
    <t xml:space="preserve">FC B 0015 - 00009038</t>
  </si>
  <si>
    <t xml:space="preserve">FC A 0010 - 00000530</t>
  </si>
  <si>
    <t xml:space="preserve">VITVIN S. R. L.</t>
  </si>
  <si>
    <t xml:space="preserve">FC A 0011 - 00001608</t>
  </si>
  <si>
    <t xml:space="preserve">JOSE MARCELO VISCHI</t>
  </si>
  <si>
    <t xml:space="preserve">FC A 0011 - 00001609</t>
  </si>
  <si>
    <t xml:space="preserve">MANUEL URRIZOLA</t>
  </si>
  <si>
    <t xml:space="preserve">FC A 0011 - 00001610</t>
  </si>
  <si>
    <t xml:space="preserve">ALEJANDRO ERNESTO MORETTI</t>
  </si>
  <si>
    <t xml:space="preserve">FC A 0015 - 00000159</t>
  </si>
  <si>
    <t xml:space="preserve">VITAL SOLUTIONS S. A. S.</t>
  </si>
  <si>
    <t xml:space="preserve">FC A 0015 - 00000160</t>
  </si>
  <si>
    <t xml:space="preserve">FC B 0015 - 00009039</t>
  </si>
  <si>
    <t xml:space="preserve">FC B 0015 - 00009040</t>
  </si>
  <si>
    <t xml:space="preserve">FC B 0015 - 00009041</t>
  </si>
  <si>
    <t xml:space="preserve">FC B 0015 - 00009042</t>
  </si>
  <si>
    <t xml:space="preserve">FC B 0015 - 00009043</t>
  </si>
  <si>
    <t xml:space="preserve">FC B 0015 - 00009044</t>
  </si>
  <si>
    <t xml:space="preserve">FC B 0015 - 00009045</t>
  </si>
  <si>
    <t xml:space="preserve">FC B 0011 - 00001168</t>
  </si>
  <si>
    <t xml:space="preserve">JAVIER ALEJANDRO HERNANDEZ</t>
  </si>
  <si>
    <t xml:space="preserve">FC A 0011 - 00001611</t>
  </si>
  <si>
    <t xml:space="preserve">CULTIVOS DE ORIGEN S.R.L.</t>
  </si>
  <si>
    <t xml:space="preserve">FC A 0011 - 00001612</t>
  </si>
  <si>
    <t xml:space="preserve">PAULA DOINY CABRE YRIGOYEN</t>
  </si>
  <si>
    <t xml:space="preserve">FC A 0011 - 00001613</t>
  </si>
  <si>
    <t xml:space="preserve">ALTOS DE SAN CARLOS SOCIEDAD ANONIMA</t>
  </si>
  <si>
    <t xml:space="preserve">NCR</t>
  </si>
  <si>
    <t xml:space="preserve">NCR B 0011 - 00000027</t>
  </si>
  <si>
    <t xml:space="preserve">FC B 0010 - 00000806</t>
  </si>
  <si>
    <t xml:space="preserve">CECILIA ANDREA PIEDRABUENA</t>
  </si>
  <si>
    <t xml:space="preserve">FC B 0015 - 00009046</t>
  </si>
  <si>
    <t xml:space="preserve">FC B 0015 - 00009047</t>
  </si>
  <si>
    <t xml:space="preserve">FC A 0011 - 00001614</t>
  </si>
  <si>
    <t xml:space="preserve">AGUIRRE DIEGO PABLO</t>
  </si>
  <si>
    <t xml:space="preserve">FC A 0010 - 00000531</t>
  </si>
  <si>
    <t xml:space="preserve">GALBADIA S.A.</t>
  </si>
  <si>
    <t xml:space="preserve">FC B 0010 - 00000807</t>
  </si>
  <si>
    <t xml:space="preserve">ARIEL OMAR BENVENUTO</t>
  </si>
  <si>
    <t xml:space="preserve">NCR B 0010 - 00000024</t>
  </si>
  <si>
    <t xml:space="preserve">FC B 0015 - 00009048</t>
  </si>
  <si>
    <t xml:space="preserve">FC B 0015 - 00009049</t>
  </si>
  <si>
    <t xml:space="preserve">FC B 0015 - 00009050</t>
  </si>
  <si>
    <t xml:space="preserve">FC B 0015 - 00009051</t>
  </si>
  <si>
    <t xml:space="preserve">FC B 0015 - 00009052</t>
  </si>
  <si>
    <t xml:space="preserve">FC B 0015 - 00009053</t>
  </si>
  <si>
    <t xml:space="preserve">FC B 0015 - 00009054</t>
  </si>
  <si>
    <t xml:space="preserve">FC B 0015 - 00009055</t>
  </si>
  <si>
    <t xml:space="preserve">FC B 0015 - 00009056</t>
  </si>
  <si>
    <t xml:space="preserve">FC B 0015 - 00009057</t>
  </si>
  <si>
    <t xml:space="preserve">FC B 0015 - 00009058</t>
  </si>
  <si>
    <t xml:space="preserve">FC B 0015 - 00009059</t>
  </si>
  <si>
    <t xml:space="preserve">FC B 0015 - 00009060</t>
  </si>
  <si>
    <t xml:space="preserve">FC B 0015 - 00009061</t>
  </si>
  <si>
    <t xml:space="preserve">FC B 0015 - 00009062</t>
  </si>
  <si>
    <t xml:space="preserve">FC B 0015 - 00009063</t>
  </si>
  <si>
    <t xml:space="preserve">FC B 0015 - 00009064</t>
  </si>
  <si>
    <t xml:space="preserve">FC A 0011 - 00001615</t>
  </si>
  <si>
    <t xml:space="preserve">AGVANCE S.A.</t>
  </si>
  <si>
    <t xml:space="preserve">FC A 0011 - 00001616</t>
  </si>
  <si>
    <t xml:space="preserve">SEBASTIAN ANDRES PAEZ VILARO</t>
  </si>
  <si>
    <t xml:space="preserve">FC B 0011 - 00001169</t>
  </si>
  <si>
    <t xml:space="preserve">JOSE LUIS LOZADA</t>
  </si>
  <si>
    <t xml:space="preserve">FC B 0011 - 00001170</t>
  </si>
  <si>
    <t xml:space="preserve">ALEJANDRO ALFREDO MUÑOZ</t>
  </si>
  <si>
    <t xml:space="preserve">FC B 0015 - 00009065</t>
  </si>
  <si>
    <t xml:space="preserve">FC B 0015 - 00009066</t>
  </si>
  <si>
    <t xml:space="preserve">FC B 0015 - 00009067</t>
  </si>
  <si>
    <t xml:space="preserve">FC B 0015 - 00009068</t>
  </si>
  <si>
    <t xml:space="preserve">FC B 0015 - 00009069</t>
  </si>
  <si>
    <t xml:space="preserve">FC B 0015 - 00009070</t>
  </si>
  <si>
    <t xml:space="preserve">FC B 0015 - 00009071</t>
  </si>
  <si>
    <t xml:space="preserve">FC B 0015 - 00009072</t>
  </si>
  <si>
    <t xml:space="preserve">FC B 0015 - 00009073</t>
  </si>
  <si>
    <t xml:space="preserve">FC B 0015 - 00009074</t>
  </si>
  <si>
    <t xml:space="preserve">FC B 0015 - 00009075</t>
  </si>
  <si>
    <t xml:space="preserve">FC B 0015 - 00009076</t>
  </si>
  <si>
    <t xml:space="preserve">FC B 0015 - 00009077</t>
  </si>
  <si>
    <t xml:space="preserve">FC B 0015 - 00009078</t>
  </si>
  <si>
    <t xml:space="preserve">FC B 0015 - 00009079</t>
  </si>
  <si>
    <t xml:space="preserve">FC B 0015 - 00009080</t>
  </si>
  <si>
    <t xml:space="preserve">FC B 0015 - 00009081</t>
  </si>
  <si>
    <t xml:space="preserve">FC B 0015 - 00009082</t>
  </si>
  <si>
    <t xml:space="preserve">FC B 0015 - 00009083</t>
  </si>
  <si>
    <t xml:space="preserve">FC B 0015 - 00009084</t>
  </si>
  <si>
    <t xml:space="preserve">FC B 0011 - 00001171</t>
  </si>
  <si>
    <t xml:space="preserve">PIÑEIRO BOZZOLO ALEJANDRO</t>
  </si>
  <si>
    <t xml:space="preserve">FC A 0011 - 00001617</t>
  </si>
  <si>
    <t xml:space="preserve">KARINA AYELEN BRANDAN</t>
  </si>
  <si>
    <t xml:space="preserve">FC A 0011 - 00001618</t>
  </si>
  <si>
    <t xml:space="preserve">VERA MG S.R.L.</t>
  </si>
  <si>
    <t xml:space="preserve">FC B 0011 - 00001172</t>
  </si>
  <si>
    <t xml:space="preserve">EMILIANO ULISES GELSO</t>
  </si>
  <si>
    <t xml:space="preserve">FC B 0010 - 00000808</t>
  </si>
  <si>
    <t xml:space="preserve">LIONEL POUJADE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</si>
</sst>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-#,##0.00;\-"/>
    <numFmt numFmtId="166" formatCode="0"/>
    <numFmt numFmtId="167" formatCode="dd/mm/yyyy"/>
    <numFmt numFmtId="168" formatCode="#,##0.00"/>
    <numFmt numFmtId="169" formatCode="#,##0.0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2"/>
      <name val="Calibri"/>
      <family val="0"/>
      <charset val="1"/>
    </font>
    <font>
      <sz val="12"/>
      <name val="Calibri"/>
      <family val="0"/>
      <charset val="1"/>
    </font>
    <font>
      <b val="true"/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6" min="3" style="1" width="1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5" t="s">
        <v>9</v>
      </c>
      <c r="C5" s="6" t="n">
        <f aca="false">SUMIFS(Datos!$I$2:$I$84,Datos!$H$2:$H$84,$B5,Datos!$AB$2:$AB$84,C$4)</f>
        <v>5348942.8</v>
      </c>
      <c r="D5" s="6" t="n">
        <f aca="false">SUMIFS(Datos!$I$2:$I$84,Datos!$H$2:$H$84,$B5,Datos!$AB$2:$AB$84,D$4)</f>
        <v>4486385.93</v>
      </c>
      <c r="E5" s="6" t="n">
        <f aca="false">SUMIFS(Datos!$I$2:$I$84,Datos!$H$2:$H$84,$B5,Datos!$AB$2:$AB$84,E$4)</f>
        <v>-549421.49</v>
      </c>
      <c r="F5" s="7" t="n">
        <f aca="false">SUM(C5:E5)</f>
        <v>9285907.24</v>
      </c>
    </row>
    <row r="6" customFormat="false" ht="15" hidden="false" customHeight="true" outlineLevel="0" collapsed="false">
      <c r="A6" s="5" t="s">
        <v>10</v>
      </c>
      <c r="B6" s="5" t="s">
        <v>11</v>
      </c>
      <c r="C6" s="6" t="n">
        <f aca="false">SUMIFS(Datos!$I$2:$I$84,Datos!$H$2:$H$84,$B6,Datos!$AB$2:$AB$84,C$4)</f>
        <v>238016.53</v>
      </c>
      <c r="D6" s="6" t="n">
        <f aca="false">SUMIFS(Datos!$I$2:$I$84,Datos!$H$2:$H$84,$B6,Datos!$AB$2:$AB$84,D$4)</f>
        <v>2214038.86</v>
      </c>
      <c r="E6" s="6" t="n">
        <f aca="false">SUMIFS(Datos!$I$2:$I$84,Datos!$H$2:$H$84,$B6,Datos!$AB$2:$AB$84,E$4)</f>
        <v>0</v>
      </c>
      <c r="F6" s="7" t="n">
        <f aca="false">SUM(C6:E6)</f>
        <v>2452055.39</v>
      </c>
    </row>
    <row r="7" customFormat="false" ht="15" hidden="false" customHeight="true" outlineLevel="0" collapsed="false">
      <c r="A7" s="8"/>
      <c r="B7" s="9" t="s">
        <v>7</v>
      </c>
      <c r="C7" s="10" t="n">
        <f aca="false">SUM(C5:C6)</f>
        <v>5586959.33</v>
      </c>
      <c r="D7" s="10" t="n">
        <f aca="false">SUM(D5:D6)</f>
        <v>6700424.79</v>
      </c>
      <c r="E7" s="10" t="n">
        <f aca="false">SUM(E5:E6)</f>
        <v>-549421.49</v>
      </c>
      <c r="F7" s="10" t="n">
        <f aca="false">SUM(F5:F6)</f>
        <v>11737962.63</v>
      </c>
    </row>
    <row r="8" customFormat="false" ht="15" hidden="false" customHeight="true" outlineLevel="0" collapsed="false">
      <c r="A8" s="11"/>
      <c r="B8" s="5" t="s">
        <v>12</v>
      </c>
      <c r="C8" s="12" t="n">
        <f aca="false">COUNTIFS(Datos!$AB$2:$AB$84,C$4)</f>
        <v>17</v>
      </c>
      <c r="D8" s="12" t="n">
        <f aca="false">COUNTIFS(Datos!$AB$2:$AB$84,D$4)</f>
        <v>64</v>
      </c>
      <c r="E8" s="12" t="n">
        <f aca="false">COUNTIFS(Datos!$AB$2:$AB$84,E$4)</f>
        <v>2</v>
      </c>
      <c r="F8" s="12" t="n">
        <f aca="false">SUM(C8:E8)</f>
        <v>83</v>
      </c>
    </row>
    <row r="10" customFormat="false" ht="15" hidden="false" customHeight="true" outlineLevel="0" collapsed="false">
      <c r="B10" s="13" t="s">
        <v>13</v>
      </c>
    </row>
    <row r="11" customFormat="false" ht="15" hidden="false" customHeight="true" outlineLevel="0" collapsed="false">
      <c r="B11" s="14" t="s">
        <v>14</v>
      </c>
      <c r="F11" s="15" t="n">
        <f aca="false">SUM(Datos!$I$2:$I$84)</f>
        <v>11737962.63</v>
      </c>
    </row>
    <row r="12" customFormat="false" ht="15" hidden="false" customHeight="true" outlineLevel="0" collapsed="false">
      <c r="B12" s="14" t="s">
        <v>15</v>
      </c>
      <c r="F12" s="15" t="n">
        <f aca="false">F7</f>
        <v>11737962.63</v>
      </c>
    </row>
    <row r="13" customFormat="false" ht="15" hidden="false" customHeight="true" outlineLevel="0" collapsed="false">
      <c r="B13" s="13" t="s">
        <v>16</v>
      </c>
      <c r="F13" s="16" t="n">
        <f aca="false">ROUND(F11-F12,2)</f>
        <v>0</v>
      </c>
    </row>
    <row r="15" customFormat="false" ht="15" hidden="false" customHeight="true" outlineLevel="0" collapsed="false">
      <c r="A15" s="2" t="s">
        <v>17</v>
      </c>
    </row>
    <row r="16" customFormat="false" ht="15" hidden="false" customHeight="true" outlineLevel="0" collapsed="false">
      <c r="A16" s="3" t="s">
        <v>18</v>
      </c>
    </row>
    <row r="17" customFormat="false" ht="15" hidden="false" customHeight="true" outlineLevel="0" collapsed="false"/>
    <row r="18" customFormat="false" ht="15" hidden="false" customHeight="true" outlineLevel="0" collapsed="false">
      <c r="A18" s="4" t="s">
        <v>2</v>
      </c>
      <c r="B18" s="4" t="s">
        <v>3</v>
      </c>
      <c r="C18" s="4" t="s">
        <v>4</v>
      </c>
      <c r="D18" s="4" t="s">
        <v>5</v>
      </c>
      <c r="E18" s="4" t="s">
        <v>6</v>
      </c>
      <c r="F18" s="4" t="s">
        <v>7</v>
      </c>
    </row>
    <row r="19" customFormat="false" ht="15" hidden="false" customHeight="true" outlineLevel="0" collapsed="false">
      <c r="A19" s="5" t="s">
        <v>8</v>
      </c>
      <c r="B19" s="5" t="s">
        <v>9</v>
      </c>
      <c r="C19" s="6" t="n">
        <f aca="false">SUMIFS(Datos!$K$2:$K$84,Datos!$H$2:$H$84,$B19,Datos!$AB$2:$AB$84,C$18)</f>
        <v>1123278</v>
      </c>
      <c r="D19" s="6" t="n">
        <f aca="false">SUMIFS(Datos!$K$2:$K$84,Datos!$H$2:$H$84,$B19,Datos!$AB$2:$AB$84,D$18)</f>
        <v>942141.07</v>
      </c>
      <c r="E19" s="6" t="n">
        <f aca="false">SUMIFS(Datos!$K$2:$K$84,Datos!$H$2:$H$84,$B19,Datos!$AB$2:$AB$84,E$18)</f>
        <v>-115378.51</v>
      </c>
      <c r="F19" s="7" t="n">
        <f aca="false">SUM(C19:E19)</f>
        <v>1950040.56</v>
      </c>
    </row>
    <row r="20" customFormat="false" ht="15" hidden="false" customHeight="true" outlineLevel="0" collapsed="false">
      <c r="A20" s="5" t="s">
        <v>10</v>
      </c>
      <c r="B20" s="5" t="s">
        <v>11</v>
      </c>
      <c r="C20" s="6" t="n">
        <f aca="false">SUMIFS(Datos!$K$2:$K$84,Datos!$H$2:$H$84,$B20,Datos!$AB$2:$AB$84,C$18)</f>
        <v>49983.47</v>
      </c>
      <c r="D20" s="6" t="n">
        <f aca="false">SUMIFS(Datos!$K$2:$K$84,Datos!$H$2:$H$84,$B20,Datos!$AB$2:$AB$84,D$18)</f>
        <v>464948.14</v>
      </c>
      <c r="E20" s="6" t="n">
        <f aca="false">SUMIFS(Datos!$K$2:$K$84,Datos!$H$2:$H$84,$B20,Datos!$AB$2:$AB$84,E$18)</f>
        <v>0</v>
      </c>
      <c r="F20" s="7" t="n">
        <f aca="false">SUM(C20:E20)</f>
        <v>514931.61</v>
      </c>
    </row>
    <row r="21" customFormat="false" ht="15" hidden="false" customHeight="true" outlineLevel="0" collapsed="false">
      <c r="A21" s="8"/>
      <c r="B21" s="9" t="s">
        <v>7</v>
      </c>
      <c r="C21" s="10" t="n">
        <f aca="false">SUM(C19:C20)</f>
        <v>1173261.47</v>
      </c>
      <c r="D21" s="10" t="n">
        <f aca="false">SUM(D19:D20)</f>
        <v>1407089.21</v>
      </c>
      <c r="E21" s="10" t="n">
        <f aca="false">SUM(E19:E20)</f>
        <v>-115378.51</v>
      </c>
      <c r="F21" s="10" t="n">
        <f aca="false">SUM(F19:F20)</f>
        <v>2464972.17</v>
      </c>
    </row>
    <row r="23" customFormat="false" ht="15" hidden="false" customHeight="true" outlineLevel="0" collapsed="false">
      <c r="A23" s="17"/>
      <c r="B23" s="13" t="s">
        <v>19</v>
      </c>
    </row>
    <row r="24" customFormat="false" ht="15" hidden="false" customHeight="true" outlineLevel="0" collapsed="false">
      <c r="A24" s="3"/>
      <c r="B24" s="14" t="s">
        <v>20</v>
      </c>
      <c r="F24" s="15" t="n">
        <f aca="false">SUM(Datos!$K$2:$K$84)</f>
        <v>2464972.17</v>
      </c>
    </row>
    <row r="25" customFormat="false" ht="15" hidden="false" customHeight="true" outlineLevel="0" collapsed="false">
      <c r="A25" s="3"/>
      <c r="B25" s="14" t="s">
        <v>21</v>
      </c>
      <c r="F25" s="15" t="n">
        <f aca="false">F21</f>
        <v>2464972.17</v>
      </c>
    </row>
    <row r="26" customFormat="false" ht="15" hidden="false" customHeight="true" outlineLevel="0" collapsed="false">
      <c r="A26" s="3"/>
      <c r="B26" s="13" t="s">
        <v>16</v>
      </c>
      <c r="F26" s="16" t="n">
        <f aca="false">ROUND(F24-F25,2)</f>
        <v>0</v>
      </c>
    </row>
    <row r="28" customFormat="false" ht="15" hidden="false" customHeight="false" outlineLevel="0" collapsed="false">
      <c r="A28" s="18" t="s">
        <v>22</v>
      </c>
    </row>
    <row r="29" customFormat="false" ht="15" hidden="false" customHeight="false" outlineLevel="0" collapsed="false">
      <c r="A29" s="19" t="s">
        <v>23</v>
      </c>
    </row>
    <row r="30" customFormat="false" ht="15" hidden="false" customHeight="false" outlineLevel="0" collapsed="false">
      <c r="A30" s="19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1" width="18.84"/>
    <col collapsed="false" customWidth="true" hidden="false" outlineLevel="0" max="2" min="2" style="1" width="16.83"/>
    <col collapsed="false" customWidth="true" hidden="false" outlineLevel="0" max="3" min="3" style="1" width="11.84"/>
    <col collapsed="false" customWidth="true" hidden="false" outlineLevel="0" max="4" min="4" style="1" width="35.82"/>
    <col collapsed="false" customWidth="true" hidden="false" outlineLevel="0" max="6" min="5" style="1" width="26.83"/>
    <col collapsed="false" customWidth="true" hidden="false" outlineLevel="0" max="7" min="7" style="1" width="18.84"/>
    <col collapsed="false" customWidth="true" hidden="false" outlineLevel="0" max="9" min="8" style="1" width="26.83"/>
    <col collapsed="false" customWidth="true" hidden="false" outlineLevel="0" max="10" min="10" style="1" width="16.83"/>
    <col collapsed="false" customWidth="true" hidden="false" outlineLevel="0" max="11" min="11" style="1" width="26.83"/>
    <col collapsed="false" customWidth="true" hidden="false" outlineLevel="0" max="12" min="12" style="1" width="28.82"/>
    <col collapsed="false" customWidth="true" hidden="false" outlineLevel="0" max="13" min="13" style="1" width="18.84"/>
    <col collapsed="false" customWidth="true" hidden="false" outlineLevel="0" max="14" min="14" style="1" width="19.83"/>
    <col collapsed="false" customWidth="true" hidden="false" outlineLevel="0" max="25" min="15" style="1" width="26.83"/>
    <col collapsed="false" customWidth="true" hidden="false" outlineLevel="0" max="28" min="26" style="1" width="20"/>
  </cols>
  <sheetData>
    <row r="1" customFormat="false" ht="15" hidden="false" customHeight="true" outlineLevel="0" collapsed="false">
      <c r="A1" s="20" t="s">
        <v>25</v>
      </c>
      <c r="B1" s="20" t="s">
        <v>26</v>
      </c>
      <c r="C1" s="20" t="s">
        <v>27</v>
      </c>
      <c r="D1" s="20" t="s">
        <v>28</v>
      </c>
      <c r="E1" s="20" t="s">
        <v>29</v>
      </c>
      <c r="F1" s="20" t="s">
        <v>30</v>
      </c>
      <c r="G1" s="20" t="s">
        <v>31</v>
      </c>
      <c r="H1" s="20" t="s">
        <v>32</v>
      </c>
      <c r="I1" s="20" t="s">
        <v>33</v>
      </c>
      <c r="J1" s="20" t="s">
        <v>34</v>
      </c>
      <c r="K1" s="20" t="s">
        <v>35</v>
      </c>
      <c r="L1" s="20" t="s">
        <v>36</v>
      </c>
      <c r="M1" s="20" t="s">
        <v>37</v>
      </c>
      <c r="N1" s="20" t="s">
        <v>38</v>
      </c>
      <c r="O1" s="20" t="s">
        <v>39</v>
      </c>
      <c r="P1" s="20" t="s">
        <v>40</v>
      </c>
      <c r="Q1" s="20" t="s">
        <v>41</v>
      </c>
      <c r="R1" s="20" t="s">
        <v>42</v>
      </c>
      <c r="S1" s="20" t="s">
        <v>43</v>
      </c>
      <c r="T1" s="20" t="s">
        <v>44</v>
      </c>
      <c r="U1" s="20" t="s">
        <v>45</v>
      </c>
      <c r="V1" s="20" t="s">
        <v>46</v>
      </c>
      <c r="W1" s="20" t="s">
        <v>47</v>
      </c>
      <c r="X1" s="20" t="s">
        <v>48</v>
      </c>
      <c r="Y1" s="20" t="s">
        <v>49</v>
      </c>
      <c r="Z1" s="1" t="s">
        <v>50</v>
      </c>
      <c r="AA1" s="1" t="s">
        <v>51</v>
      </c>
      <c r="AB1" s="1" t="s">
        <v>52</v>
      </c>
    </row>
    <row r="2" customFormat="false" ht="15" hidden="false" customHeight="true" outlineLevel="0" collapsed="false">
      <c r="A2" s="1" t="s">
        <v>53</v>
      </c>
      <c r="B2" s="21" t="n">
        <v>46237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10</v>
      </c>
      <c r="H2" s="1" t="s">
        <v>11</v>
      </c>
      <c r="I2" s="22" t="n">
        <v>8925.62</v>
      </c>
      <c r="J2" s="23" t="n">
        <v>21</v>
      </c>
      <c r="K2" s="22" t="n">
        <v>1874.38</v>
      </c>
      <c r="L2" s="22" t="n">
        <v>0</v>
      </c>
      <c r="M2" s="22" t="n">
        <v>0</v>
      </c>
      <c r="N2" s="22" t="n">
        <v>10800</v>
      </c>
      <c r="Z2" s="1" t="str">
        <f aca="false">LEFT(D2,FIND(" ",D2)-1)</f>
        <v>FC</v>
      </c>
      <c r="AA2" s="1" t="str">
        <f aca="false">MID(D2,FIND(" ",D2)+1,1)</f>
        <v>B</v>
      </c>
      <c r="AB2" s="1" t="str">
        <f aca="false">Z2&amp;" "&amp;AA2</f>
        <v>FC B</v>
      </c>
    </row>
    <row r="3" customFormat="false" ht="15" hidden="false" customHeight="true" outlineLevel="0" collapsed="false">
      <c r="A3" s="1" t="s">
        <v>53</v>
      </c>
      <c r="B3" s="21" t="n">
        <v>46237</v>
      </c>
      <c r="C3" s="1" t="s">
        <v>54</v>
      </c>
      <c r="D3" s="1" t="s">
        <v>58</v>
      </c>
      <c r="E3" s="1" t="s">
        <v>56</v>
      </c>
      <c r="F3" s="1" t="s">
        <v>57</v>
      </c>
      <c r="G3" s="1" t="s">
        <v>10</v>
      </c>
      <c r="H3" s="1" t="s">
        <v>11</v>
      </c>
      <c r="I3" s="22" t="n">
        <v>41735.54</v>
      </c>
      <c r="J3" s="23" t="n">
        <v>21</v>
      </c>
      <c r="K3" s="22" t="n">
        <v>8764.46</v>
      </c>
      <c r="L3" s="22" t="n">
        <v>0</v>
      </c>
      <c r="M3" s="22" t="n">
        <v>0</v>
      </c>
      <c r="N3" s="22" t="n">
        <v>50500</v>
      </c>
      <c r="Z3" s="1" t="str">
        <f aca="false">LEFT(D3,FIND(" ",D3)-1)</f>
        <v>FC</v>
      </c>
      <c r="AA3" s="1" t="str">
        <f aca="false">MID(D3,FIND(" ",D3)+1,1)</f>
        <v>B</v>
      </c>
      <c r="AB3" s="1" t="str">
        <f aca="false">Z3&amp;" "&amp;AA3</f>
        <v>FC B</v>
      </c>
    </row>
    <row r="4" customFormat="false" ht="15" hidden="false" customHeight="true" outlineLevel="0" collapsed="false">
      <c r="A4" s="1" t="s">
        <v>53</v>
      </c>
      <c r="B4" s="21" t="n">
        <v>46237</v>
      </c>
      <c r="C4" s="1" t="s">
        <v>54</v>
      </c>
      <c r="D4" s="1" t="s">
        <v>59</v>
      </c>
      <c r="E4" s="1" t="s">
        <v>56</v>
      </c>
      <c r="F4" s="1" t="s">
        <v>57</v>
      </c>
      <c r="G4" s="1" t="s">
        <v>10</v>
      </c>
      <c r="H4" s="1" t="s">
        <v>11</v>
      </c>
      <c r="I4" s="22" t="n">
        <v>35537.19</v>
      </c>
      <c r="J4" s="23" t="n">
        <v>21</v>
      </c>
      <c r="K4" s="22" t="n">
        <v>7462.81</v>
      </c>
      <c r="L4" s="22" t="n">
        <v>0</v>
      </c>
      <c r="M4" s="22" t="n">
        <v>0</v>
      </c>
      <c r="N4" s="22" t="n">
        <v>43000</v>
      </c>
      <c r="Z4" s="1" t="str">
        <f aca="false">LEFT(D4,FIND(" ",D4)-1)</f>
        <v>FC</v>
      </c>
      <c r="AA4" s="1" t="str">
        <f aca="false">MID(D4,FIND(" ",D4)+1,1)</f>
        <v>B</v>
      </c>
      <c r="AB4" s="1" t="str">
        <f aca="false">Z4&amp;" "&amp;AA4</f>
        <v>FC B</v>
      </c>
    </row>
    <row r="5" customFormat="false" ht="15" hidden="false" customHeight="true" outlineLevel="0" collapsed="false">
      <c r="A5" s="1" t="s">
        <v>53</v>
      </c>
      <c r="B5" s="21" t="n">
        <v>46237</v>
      </c>
      <c r="C5" s="1" t="s">
        <v>54</v>
      </c>
      <c r="D5" s="1" t="s">
        <v>60</v>
      </c>
      <c r="E5" s="1" t="s">
        <v>56</v>
      </c>
      <c r="F5" s="1" t="s">
        <v>57</v>
      </c>
      <c r="G5" s="1" t="s">
        <v>10</v>
      </c>
      <c r="H5" s="1" t="s">
        <v>11</v>
      </c>
      <c r="I5" s="22" t="n">
        <v>11900.83</v>
      </c>
      <c r="J5" s="23" t="n">
        <v>21</v>
      </c>
      <c r="K5" s="22" t="n">
        <v>2499.17</v>
      </c>
      <c r="L5" s="22" t="n">
        <v>0</v>
      </c>
      <c r="M5" s="22" t="n">
        <v>0</v>
      </c>
      <c r="N5" s="22" t="n">
        <v>14400</v>
      </c>
      <c r="Z5" s="1" t="str">
        <f aca="false">LEFT(D5,FIND(" ",D5)-1)</f>
        <v>FC</v>
      </c>
      <c r="AA5" s="1" t="str">
        <f aca="false">MID(D5,FIND(" ",D5)+1,1)</f>
        <v>B</v>
      </c>
      <c r="AB5" s="1" t="str">
        <f aca="false">Z5&amp;" "&amp;AA5</f>
        <v>FC B</v>
      </c>
    </row>
    <row r="6" customFormat="false" ht="15" hidden="false" customHeight="true" outlineLevel="0" collapsed="false">
      <c r="A6" s="1" t="s">
        <v>53</v>
      </c>
      <c r="B6" s="21" t="n">
        <v>46237</v>
      </c>
      <c r="C6" s="1" t="s">
        <v>54</v>
      </c>
      <c r="D6" s="1" t="s">
        <v>61</v>
      </c>
      <c r="E6" s="1" t="s">
        <v>56</v>
      </c>
      <c r="F6" s="1" t="s">
        <v>57</v>
      </c>
      <c r="G6" s="1" t="s">
        <v>10</v>
      </c>
      <c r="H6" s="1" t="s">
        <v>11</v>
      </c>
      <c r="I6" s="22" t="n">
        <v>20578.51</v>
      </c>
      <c r="J6" s="23" t="n">
        <v>21</v>
      </c>
      <c r="K6" s="22" t="n">
        <v>4321.49</v>
      </c>
      <c r="L6" s="22" t="n">
        <v>0</v>
      </c>
      <c r="M6" s="22" t="n">
        <v>0</v>
      </c>
      <c r="N6" s="22" t="n">
        <v>24900</v>
      </c>
      <c r="Z6" s="1" t="str">
        <f aca="false">LEFT(D6,FIND(" ",D6)-1)</f>
        <v>FC</v>
      </c>
      <c r="AA6" s="1" t="str">
        <f aca="false">MID(D6,FIND(" ",D6)+1,1)</f>
        <v>B</v>
      </c>
      <c r="AB6" s="1" t="str">
        <f aca="false">Z6&amp;" "&amp;AA6</f>
        <v>FC B</v>
      </c>
    </row>
    <row r="7" customFormat="false" ht="15" hidden="false" customHeight="true" outlineLevel="0" collapsed="false">
      <c r="A7" s="1" t="s">
        <v>53</v>
      </c>
      <c r="B7" s="21" t="n">
        <v>46238</v>
      </c>
      <c r="C7" s="1" t="s">
        <v>54</v>
      </c>
      <c r="D7" s="1" t="s">
        <v>62</v>
      </c>
      <c r="E7" s="1" t="s">
        <v>63</v>
      </c>
      <c r="F7" s="1" t="s">
        <v>57</v>
      </c>
      <c r="G7" s="1" t="s">
        <v>8</v>
      </c>
      <c r="H7" s="1" t="s">
        <v>9</v>
      </c>
      <c r="I7" s="22" t="n">
        <v>804258</v>
      </c>
      <c r="J7" s="23" t="n">
        <v>21</v>
      </c>
      <c r="K7" s="22" t="n">
        <v>168894.18</v>
      </c>
      <c r="L7" s="22" t="n">
        <v>0</v>
      </c>
      <c r="M7" s="22" t="n">
        <v>0</v>
      </c>
      <c r="N7" s="22" t="n">
        <v>973152.18</v>
      </c>
      <c r="Z7" s="1" t="str">
        <f aca="false">LEFT(D7,FIND(" ",D7)-1)</f>
        <v>FC</v>
      </c>
      <c r="AA7" s="1" t="str">
        <f aca="false">MID(D7,FIND(" ",D7)+1,1)</f>
        <v>A</v>
      </c>
      <c r="AB7" s="1" t="str">
        <f aca="false">Z7&amp;" "&amp;AA7</f>
        <v>FC A</v>
      </c>
    </row>
    <row r="8" customFormat="false" ht="15" hidden="false" customHeight="true" outlineLevel="0" collapsed="false">
      <c r="A8" s="1" t="s">
        <v>53</v>
      </c>
      <c r="B8" s="21" t="n">
        <v>46238</v>
      </c>
      <c r="C8" s="1" t="s">
        <v>54</v>
      </c>
      <c r="D8" s="1" t="s">
        <v>64</v>
      </c>
      <c r="E8" s="1" t="s">
        <v>65</v>
      </c>
      <c r="F8" s="1" t="s">
        <v>57</v>
      </c>
      <c r="G8" s="1" t="s">
        <v>8</v>
      </c>
      <c r="H8" s="1" t="s">
        <v>9</v>
      </c>
      <c r="I8" s="22" t="n">
        <v>126281</v>
      </c>
      <c r="J8" s="23" t="n">
        <v>21</v>
      </c>
      <c r="K8" s="22" t="n">
        <v>26519.01</v>
      </c>
      <c r="L8" s="22" t="n">
        <v>0</v>
      </c>
      <c r="M8" s="22" t="n">
        <v>0</v>
      </c>
      <c r="N8" s="22" t="n">
        <v>152800.01</v>
      </c>
      <c r="Z8" s="1" t="str">
        <f aca="false">LEFT(D8,FIND(" ",D8)-1)</f>
        <v>FC</v>
      </c>
      <c r="AA8" s="1" t="str">
        <f aca="false">MID(D8,FIND(" ",D8)+1,1)</f>
        <v>A</v>
      </c>
      <c r="AB8" s="1" t="str">
        <f aca="false">Z8&amp;" "&amp;AA8</f>
        <v>FC A</v>
      </c>
    </row>
    <row r="9" customFormat="false" ht="15" hidden="false" customHeight="true" outlineLevel="0" collapsed="false">
      <c r="A9" s="1" t="s">
        <v>53</v>
      </c>
      <c r="B9" s="21" t="n">
        <v>46238</v>
      </c>
      <c r="C9" s="1" t="s">
        <v>54</v>
      </c>
      <c r="D9" s="1" t="s">
        <v>66</v>
      </c>
      <c r="E9" s="1" t="s">
        <v>67</v>
      </c>
      <c r="F9" s="1" t="s">
        <v>57</v>
      </c>
      <c r="G9" s="1" t="s">
        <v>8</v>
      </c>
      <c r="H9" s="1" t="s">
        <v>9</v>
      </c>
      <c r="I9" s="22" t="n">
        <v>293057.85</v>
      </c>
      <c r="J9" s="23" t="n">
        <v>21</v>
      </c>
      <c r="K9" s="22" t="n">
        <v>61542.15</v>
      </c>
      <c r="L9" s="22" t="n">
        <v>0</v>
      </c>
      <c r="M9" s="22" t="n">
        <v>0</v>
      </c>
      <c r="N9" s="22" t="n">
        <v>354600</v>
      </c>
      <c r="Z9" s="1" t="str">
        <f aca="false">LEFT(D9,FIND(" ",D9)-1)</f>
        <v>FC</v>
      </c>
      <c r="AA9" s="1" t="str">
        <f aca="false">MID(D9,FIND(" ",D9)+1,1)</f>
        <v>B</v>
      </c>
      <c r="AB9" s="1" t="str">
        <f aca="false">Z9&amp;" "&amp;AA9</f>
        <v>FC B</v>
      </c>
    </row>
    <row r="10" customFormat="false" ht="15" hidden="false" customHeight="true" outlineLevel="0" collapsed="false">
      <c r="A10" s="1" t="s">
        <v>53</v>
      </c>
      <c r="B10" s="21" t="n">
        <v>46238</v>
      </c>
      <c r="C10" s="1" t="s">
        <v>54</v>
      </c>
      <c r="D10" s="1" t="s">
        <v>68</v>
      </c>
      <c r="E10" s="1" t="s">
        <v>69</v>
      </c>
      <c r="F10" s="1" t="s">
        <v>57</v>
      </c>
      <c r="G10" s="1" t="s">
        <v>8</v>
      </c>
      <c r="H10" s="1" t="s">
        <v>9</v>
      </c>
      <c r="I10" s="22" t="n">
        <v>353884.3</v>
      </c>
      <c r="J10" s="23" t="n">
        <v>21</v>
      </c>
      <c r="K10" s="22" t="n">
        <v>74315.7</v>
      </c>
      <c r="L10" s="22" t="n">
        <v>0</v>
      </c>
      <c r="M10" s="22" t="n">
        <v>0</v>
      </c>
      <c r="N10" s="22" t="n">
        <v>428200</v>
      </c>
      <c r="Z10" s="1" t="str">
        <f aca="false">LEFT(D10,FIND(" ",D10)-1)</f>
        <v>FC</v>
      </c>
      <c r="AA10" s="1" t="str">
        <f aca="false">MID(D10,FIND(" ",D10)+1,1)</f>
        <v>B</v>
      </c>
      <c r="AB10" s="1" t="str">
        <f aca="false">Z10&amp;" "&amp;AA10</f>
        <v>FC B</v>
      </c>
    </row>
    <row r="11" customFormat="false" ht="15" hidden="false" customHeight="true" outlineLevel="0" collapsed="false">
      <c r="A11" s="1" t="s">
        <v>53</v>
      </c>
      <c r="B11" s="21" t="n">
        <v>46238</v>
      </c>
      <c r="C11" s="1" t="s">
        <v>54</v>
      </c>
      <c r="D11" s="1" t="s">
        <v>70</v>
      </c>
      <c r="E11" s="1" t="s">
        <v>71</v>
      </c>
      <c r="F11" s="1" t="s">
        <v>57</v>
      </c>
      <c r="G11" s="1" t="s">
        <v>8</v>
      </c>
      <c r="H11" s="1" t="s">
        <v>9</v>
      </c>
      <c r="I11" s="22" t="n">
        <v>425917.35</v>
      </c>
      <c r="J11" s="23" t="n">
        <v>21</v>
      </c>
      <c r="K11" s="22" t="n">
        <v>89442.65</v>
      </c>
      <c r="L11" s="22" t="n">
        <v>0</v>
      </c>
      <c r="M11" s="22" t="n">
        <v>0</v>
      </c>
      <c r="N11" s="22" t="n">
        <v>515360</v>
      </c>
      <c r="Z11" s="1" t="str">
        <f aca="false">LEFT(D11,FIND(" ",D11)-1)</f>
        <v>FC</v>
      </c>
      <c r="AA11" s="1" t="str">
        <f aca="false">MID(D11,FIND(" ",D11)+1,1)</f>
        <v>B</v>
      </c>
      <c r="AB11" s="1" t="str">
        <f aca="false">Z11&amp;" "&amp;AA11</f>
        <v>FC B</v>
      </c>
    </row>
    <row r="12" customFormat="false" ht="15" hidden="false" customHeight="true" outlineLevel="0" collapsed="false">
      <c r="A12" s="1" t="s">
        <v>53</v>
      </c>
      <c r="B12" s="21" t="n">
        <v>46239</v>
      </c>
      <c r="C12" s="1" t="s">
        <v>54</v>
      </c>
      <c r="D12" s="1" t="s">
        <v>72</v>
      </c>
      <c r="E12" s="1" t="s">
        <v>56</v>
      </c>
      <c r="F12" s="1" t="s">
        <v>57</v>
      </c>
      <c r="G12" s="1" t="s">
        <v>10</v>
      </c>
      <c r="H12" s="1" t="s">
        <v>11</v>
      </c>
      <c r="I12" s="22" t="n">
        <v>99586.78</v>
      </c>
      <c r="J12" s="23" t="n">
        <v>21</v>
      </c>
      <c r="K12" s="22" t="n">
        <v>20913.22</v>
      </c>
      <c r="L12" s="22" t="n">
        <v>0</v>
      </c>
      <c r="M12" s="22" t="n">
        <v>0</v>
      </c>
      <c r="N12" s="22" t="n">
        <v>120500</v>
      </c>
      <c r="Z12" s="1" t="str">
        <f aca="false">LEFT(D12,FIND(" ",D12)-1)</f>
        <v>FC</v>
      </c>
      <c r="AA12" s="1" t="str">
        <f aca="false">MID(D12,FIND(" ",D12)+1,1)</f>
        <v>B</v>
      </c>
      <c r="AB12" s="1" t="str">
        <f aca="false">Z12&amp;" "&amp;AA12</f>
        <v>FC B</v>
      </c>
    </row>
    <row r="13" customFormat="false" ht="15" hidden="false" customHeight="true" outlineLevel="0" collapsed="false">
      <c r="A13" s="1" t="s">
        <v>53</v>
      </c>
      <c r="B13" s="21" t="n">
        <v>46239</v>
      </c>
      <c r="C13" s="1" t="s">
        <v>54</v>
      </c>
      <c r="D13" s="1" t="s">
        <v>73</v>
      </c>
      <c r="E13" s="1" t="s">
        <v>56</v>
      </c>
      <c r="F13" s="1" t="s">
        <v>57</v>
      </c>
      <c r="G13" s="1" t="s">
        <v>10</v>
      </c>
      <c r="H13" s="1" t="s">
        <v>11</v>
      </c>
      <c r="I13" s="22" t="n">
        <v>27355.37</v>
      </c>
      <c r="J13" s="23" t="n">
        <v>21</v>
      </c>
      <c r="K13" s="22" t="n">
        <v>5744.63</v>
      </c>
      <c r="L13" s="22" t="n">
        <v>0</v>
      </c>
      <c r="M13" s="22" t="n">
        <v>0</v>
      </c>
      <c r="N13" s="22" t="n">
        <v>33100</v>
      </c>
      <c r="Z13" s="1" t="str">
        <f aca="false">LEFT(D13,FIND(" ",D13)-1)</f>
        <v>FC</v>
      </c>
      <c r="AA13" s="1" t="str">
        <f aca="false">MID(D13,FIND(" ",D13)+1,1)</f>
        <v>B</v>
      </c>
      <c r="AB13" s="1" t="str">
        <f aca="false">Z13&amp;" "&amp;AA13</f>
        <v>FC B</v>
      </c>
    </row>
    <row r="14" customFormat="false" ht="15" hidden="false" customHeight="true" outlineLevel="0" collapsed="false">
      <c r="A14" s="1" t="s">
        <v>53</v>
      </c>
      <c r="B14" s="21" t="n">
        <v>46241</v>
      </c>
      <c r="C14" s="1" t="s">
        <v>54</v>
      </c>
      <c r="D14" s="1" t="s">
        <v>74</v>
      </c>
      <c r="E14" s="1" t="s">
        <v>75</v>
      </c>
      <c r="F14" s="1" t="s">
        <v>57</v>
      </c>
      <c r="G14" s="1" t="s">
        <v>8</v>
      </c>
      <c r="H14" s="1" t="s">
        <v>9</v>
      </c>
      <c r="I14" s="22" t="n">
        <v>16635.12</v>
      </c>
      <c r="J14" s="23" t="n">
        <v>21</v>
      </c>
      <c r="K14" s="22" t="n">
        <v>3493.38</v>
      </c>
      <c r="L14" s="22" t="n">
        <v>0</v>
      </c>
      <c r="M14" s="22" t="n">
        <v>0</v>
      </c>
      <c r="N14" s="22" t="n">
        <v>20128.5</v>
      </c>
      <c r="Z14" s="1" t="str">
        <f aca="false">LEFT(D14,FIND(" ",D14)-1)</f>
        <v>FC</v>
      </c>
      <c r="AA14" s="1" t="str">
        <f aca="false">MID(D14,FIND(" ",D14)+1,1)</f>
        <v>A</v>
      </c>
      <c r="AB14" s="1" t="str">
        <f aca="false">Z14&amp;" "&amp;AA14</f>
        <v>FC A</v>
      </c>
    </row>
    <row r="15" customFormat="false" ht="15" hidden="false" customHeight="true" outlineLevel="0" collapsed="false">
      <c r="A15" s="1" t="s">
        <v>53</v>
      </c>
      <c r="B15" s="21" t="n">
        <v>46241</v>
      </c>
      <c r="C15" s="1" t="s">
        <v>54</v>
      </c>
      <c r="D15" s="1" t="s">
        <v>76</v>
      </c>
      <c r="E15" s="1" t="s">
        <v>77</v>
      </c>
      <c r="F15" s="1" t="s">
        <v>57</v>
      </c>
      <c r="G15" s="1" t="s">
        <v>8</v>
      </c>
      <c r="H15" s="1" t="s">
        <v>9</v>
      </c>
      <c r="I15" s="22" t="n">
        <v>57024.79</v>
      </c>
      <c r="J15" s="23" t="n">
        <v>21</v>
      </c>
      <c r="K15" s="22" t="n">
        <v>11975.21</v>
      </c>
      <c r="L15" s="22" t="n">
        <v>0</v>
      </c>
      <c r="M15" s="22" t="n">
        <v>0</v>
      </c>
      <c r="N15" s="22" t="n">
        <v>69000</v>
      </c>
      <c r="Z15" s="1" t="str">
        <f aca="false">LEFT(D15,FIND(" ",D15)-1)</f>
        <v>FC</v>
      </c>
      <c r="AA15" s="1" t="str">
        <f aca="false">MID(D15,FIND(" ",D15)+1,1)</f>
        <v>A</v>
      </c>
      <c r="AB15" s="1" t="str">
        <f aca="false">Z15&amp;" "&amp;AA15</f>
        <v>FC A</v>
      </c>
    </row>
    <row r="16" customFormat="false" ht="15" hidden="false" customHeight="true" outlineLevel="0" collapsed="false">
      <c r="A16" s="1" t="s">
        <v>53</v>
      </c>
      <c r="B16" s="21" t="n">
        <v>46241</v>
      </c>
      <c r="C16" s="1" t="s">
        <v>54</v>
      </c>
      <c r="D16" s="1" t="s">
        <v>78</v>
      </c>
      <c r="E16" s="1" t="s">
        <v>79</v>
      </c>
      <c r="F16" s="1" t="s">
        <v>57</v>
      </c>
      <c r="G16" s="1" t="s">
        <v>8</v>
      </c>
      <c r="H16" s="1" t="s">
        <v>9</v>
      </c>
      <c r="I16" s="22" t="n">
        <v>424611.57</v>
      </c>
      <c r="J16" s="23" t="n">
        <v>21</v>
      </c>
      <c r="K16" s="22" t="n">
        <v>89168.43</v>
      </c>
      <c r="L16" s="22" t="n">
        <v>0</v>
      </c>
      <c r="M16" s="22" t="n">
        <v>0</v>
      </c>
      <c r="N16" s="22" t="n">
        <v>513780</v>
      </c>
      <c r="Z16" s="1" t="str">
        <f aca="false">LEFT(D16,FIND(" ",D16)-1)</f>
        <v>FC</v>
      </c>
      <c r="AA16" s="1" t="str">
        <f aca="false">MID(D16,FIND(" ",D16)+1,1)</f>
        <v>A</v>
      </c>
      <c r="AB16" s="1" t="str">
        <f aca="false">Z16&amp;" "&amp;AA16</f>
        <v>FC A</v>
      </c>
    </row>
    <row r="17" customFormat="false" ht="15" hidden="false" customHeight="true" outlineLevel="0" collapsed="false">
      <c r="A17" s="1" t="s">
        <v>53</v>
      </c>
      <c r="B17" s="21" t="n">
        <v>46241</v>
      </c>
      <c r="C17" s="1" t="s">
        <v>54</v>
      </c>
      <c r="D17" s="1" t="s">
        <v>80</v>
      </c>
      <c r="E17" s="1" t="s">
        <v>81</v>
      </c>
      <c r="F17" s="1" t="s">
        <v>57</v>
      </c>
      <c r="G17" s="1" t="s">
        <v>8</v>
      </c>
      <c r="H17" s="1" t="s">
        <v>9</v>
      </c>
      <c r="I17" s="22" t="n">
        <v>57818.18</v>
      </c>
      <c r="J17" s="23" t="n">
        <v>21</v>
      </c>
      <c r="K17" s="22" t="n">
        <v>12141.82</v>
      </c>
      <c r="L17" s="22" t="n">
        <v>0</v>
      </c>
      <c r="M17" s="22" t="n">
        <v>0</v>
      </c>
      <c r="N17" s="22" t="n">
        <v>69960</v>
      </c>
      <c r="Z17" s="1" t="str">
        <f aca="false">LEFT(D17,FIND(" ",D17)-1)</f>
        <v>FC</v>
      </c>
      <c r="AA17" s="1" t="str">
        <f aca="false">MID(D17,FIND(" ",D17)+1,1)</f>
        <v>A</v>
      </c>
      <c r="AB17" s="1" t="str">
        <f aca="false">Z17&amp;" "&amp;AA17</f>
        <v>FC A</v>
      </c>
    </row>
    <row r="18" customFormat="false" ht="15" hidden="false" customHeight="true" outlineLevel="0" collapsed="false">
      <c r="A18" s="1" t="s">
        <v>53</v>
      </c>
      <c r="B18" s="21" t="n">
        <v>46242</v>
      </c>
      <c r="C18" s="1" t="s">
        <v>54</v>
      </c>
      <c r="D18" s="1" t="s">
        <v>82</v>
      </c>
      <c r="E18" s="1" t="s">
        <v>83</v>
      </c>
      <c r="F18" s="1" t="s">
        <v>57</v>
      </c>
      <c r="G18" s="1" t="s">
        <v>10</v>
      </c>
      <c r="H18" s="1" t="s">
        <v>11</v>
      </c>
      <c r="I18" s="22" t="n">
        <v>144628.1</v>
      </c>
      <c r="J18" s="23" t="n">
        <v>21</v>
      </c>
      <c r="K18" s="22" t="n">
        <v>30371.9</v>
      </c>
      <c r="L18" s="22" t="n">
        <v>0</v>
      </c>
      <c r="M18" s="22" t="n">
        <v>0</v>
      </c>
      <c r="N18" s="22" t="n">
        <v>175000</v>
      </c>
      <c r="Z18" s="1" t="str">
        <f aca="false">LEFT(D18,FIND(" ",D18)-1)</f>
        <v>FC</v>
      </c>
      <c r="AA18" s="1" t="str">
        <f aca="false">MID(D18,FIND(" ",D18)+1,1)</f>
        <v>A</v>
      </c>
      <c r="AB18" s="1" t="str">
        <f aca="false">Z18&amp;" "&amp;AA18</f>
        <v>FC A</v>
      </c>
    </row>
    <row r="19" customFormat="false" ht="15" hidden="false" customHeight="true" outlineLevel="0" collapsed="false">
      <c r="A19" s="1" t="s">
        <v>53</v>
      </c>
      <c r="B19" s="21" t="n">
        <v>46242</v>
      </c>
      <c r="C19" s="1" t="s">
        <v>54</v>
      </c>
      <c r="D19" s="1" t="s">
        <v>84</v>
      </c>
      <c r="E19" s="1" t="s">
        <v>83</v>
      </c>
      <c r="F19" s="1" t="s">
        <v>57</v>
      </c>
      <c r="G19" s="1" t="s">
        <v>10</v>
      </c>
      <c r="H19" s="1" t="s">
        <v>11</v>
      </c>
      <c r="I19" s="22" t="n">
        <v>93388.43</v>
      </c>
      <c r="J19" s="23" t="n">
        <v>21</v>
      </c>
      <c r="K19" s="22" t="n">
        <v>19611.57</v>
      </c>
      <c r="L19" s="22" t="n">
        <v>0</v>
      </c>
      <c r="M19" s="22" t="n">
        <v>0</v>
      </c>
      <c r="N19" s="22" t="n">
        <v>113000</v>
      </c>
      <c r="Z19" s="1" t="str">
        <f aca="false">LEFT(D19,FIND(" ",D19)-1)</f>
        <v>FC</v>
      </c>
      <c r="AA19" s="1" t="str">
        <f aca="false">MID(D19,FIND(" ",D19)+1,1)</f>
        <v>A</v>
      </c>
      <c r="AB19" s="1" t="str">
        <f aca="false">Z19&amp;" "&amp;AA19</f>
        <v>FC A</v>
      </c>
    </row>
    <row r="20" customFormat="false" ht="15" hidden="false" customHeight="true" outlineLevel="0" collapsed="false">
      <c r="A20" s="1" t="s">
        <v>53</v>
      </c>
      <c r="B20" s="21" t="n">
        <v>46242</v>
      </c>
      <c r="C20" s="1" t="s">
        <v>54</v>
      </c>
      <c r="D20" s="1" t="s">
        <v>85</v>
      </c>
      <c r="E20" s="1" t="s">
        <v>56</v>
      </c>
      <c r="F20" s="1" t="s">
        <v>57</v>
      </c>
      <c r="G20" s="1" t="s">
        <v>10</v>
      </c>
      <c r="H20" s="1" t="s">
        <v>11</v>
      </c>
      <c r="I20" s="22" t="n">
        <v>61570.25</v>
      </c>
      <c r="J20" s="23" t="n">
        <v>21</v>
      </c>
      <c r="K20" s="22" t="n">
        <v>12929.75</v>
      </c>
      <c r="L20" s="22" t="n">
        <v>0</v>
      </c>
      <c r="M20" s="22" t="n">
        <v>0</v>
      </c>
      <c r="N20" s="22" t="n">
        <v>74500</v>
      </c>
      <c r="Z20" s="1" t="str">
        <f aca="false">LEFT(D20,FIND(" ",D20)-1)</f>
        <v>FC</v>
      </c>
      <c r="AA20" s="1" t="str">
        <f aca="false">MID(D20,FIND(" ",D20)+1,1)</f>
        <v>B</v>
      </c>
      <c r="AB20" s="1" t="str">
        <f aca="false">Z20&amp;" "&amp;AA20</f>
        <v>FC B</v>
      </c>
    </row>
    <row r="21" customFormat="false" ht="15" hidden="false" customHeight="true" outlineLevel="0" collapsed="false">
      <c r="A21" s="1" t="s">
        <v>53</v>
      </c>
      <c r="B21" s="21" t="n">
        <v>46242</v>
      </c>
      <c r="C21" s="1" t="s">
        <v>54</v>
      </c>
      <c r="D21" s="1" t="s">
        <v>86</v>
      </c>
      <c r="E21" s="1" t="s">
        <v>56</v>
      </c>
      <c r="F21" s="1" t="s">
        <v>57</v>
      </c>
      <c r="G21" s="1" t="s">
        <v>10</v>
      </c>
      <c r="H21" s="1" t="s">
        <v>11</v>
      </c>
      <c r="I21" s="22" t="n">
        <v>32231.4</v>
      </c>
      <c r="J21" s="23" t="n">
        <v>21</v>
      </c>
      <c r="K21" s="22" t="n">
        <v>6768.6</v>
      </c>
      <c r="L21" s="22" t="n">
        <v>0</v>
      </c>
      <c r="M21" s="22" t="n">
        <v>0</v>
      </c>
      <c r="N21" s="22" t="n">
        <v>39000</v>
      </c>
      <c r="Z21" s="1" t="str">
        <f aca="false">LEFT(D21,FIND(" ",D21)-1)</f>
        <v>FC</v>
      </c>
      <c r="AA21" s="1" t="str">
        <f aca="false">MID(D21,FIND(" ",D21)+1,1)</f>
        <v>B</v>
      </c>
      <c r="AB21" s="1" t="str">
        <f aca="false">Z21&amp;" "&amp;AA21</f>
        <v>FC B</v>
      </c>
    </row>
    <row r="22" customFormat="false" ht="15" hidden="false" customHeight="true" outlineLevel="0" collapsed="false">
      <c r="A22" s="1" t="s">
        <v>53</v>
      </c>
      <c r="B22" s="21" t="n">
        <v>46242</v>
      </c>
      <c r="C22" s="1" t="s">
        <v>54</v>
      </c>
      <c r="D22" s="1" t="s">
        <v>87</v>
      </c>
      <c r="E22" s="1" t="s">
        <v>56</v>
      </c>
      <c r="F22" s="1" t="s">
        <v>57</v>
      </c>
      <c r="G22" s="1" t="s">
        <v>10</v>
      </c>
      <c r="H22" s="1" t="s">
        <v>11</v>
      </c>
      <c r="I22" s="22" t="n">
        <v>53305.79</v>
      </c>
      <c r="J22" s="23" t="n">
        <v>21</v>
      </c>
      <c r="K22" s="22" t="n">
        <v>11194.21</v>
      </c>
      <c r="L22" s="22" t="n">
        <v>0</v>
      </c>
      <c r="M22" s="22" t="n">
        <v>0</v>
      </c>
      <c r="N22" s="22" t="n">
        <v>64500</v>
      </c>
      <c r="Z22" s="1" t="str">
        <f aca="false">LEFT(D22,FIND(" ",D22)-1)</f>
        <v>FC</v>
      </c>
      <c r="AA22" s="1" t="str">
        <f aca="false">MID(D22,FIND(" ",D22)+1,1)</f>
        <v>B</v>
      </c>
      <c r="AB22" s="1" t="str">
        <f aca="false">Z22&amp;" "&amp;AA22</f>
        <v>FC B</v>
      </c>
    </row>
    <row r="23" customFormat="false" ht="15" hidden="false" customHeight="true" outlineLevel="0" collapsed="false">
      <c r="A23" s="1" t="s">
        <v>53</v>
      </c>
      <c r="B23" s="21" t="n">
        <v>46242</v>
      </c>
      <c r="C23" s="1" t="s">
        <v>54</v>
      </c>
      <c r="D23" s="1" t="s">
        <v>88</v>
      </c>
      <c r="E23" s="1" t="s">
        <v>56</v>
      </c>
      <c r="F23" s="1" t="s">
        <v>57</v>
      </c>
      <c r="G23" s="1" t="s">
        <v>10</v>
      </c>
      <c r="H23" s="1" t="s">
        <v>11</v>
      </c>
      <c r="I23" s="22" t="n">
        <v>14793.39</v>
      </c>
      <c r="J23" s="23" t="n">
        <v>21</v>
      </c>
      <c r="K23" s="22" t="n">
        <v>3106.61</v>
      </c>
      <c r="L23" s="22" t="n">
        <v>0</v>
      </c>
      <c r="M23" s="22" t="n">
        <v>0</v>
      </c>
      <c r="N23" s="22" t="n">
        <v>17900</v>
      </c>
      <c r="Z23" s="1" t="str">
        <f aca="false">LEFT(D23,FIND(" ",D23)-1)</f>
        <v>FC</v>
      </c>
      <c r="AA23" s="1" t="str">
        <f aca="false">MID(D23,FIND(" ",D23)+1,1)</f>
        <v>B</v>
      </c>
      <c r="AB23" s="1" t="str">
        <f aca="false">Z23&amp;" "&amp;AA23</f>
        <v>FC B</v>
      </c>
    </row>
    <row r="24" customFormat="false" ht="15" hidden="false" customHeight="true" outlineLevel="0" collapsed="false">
      <c r="A24" s="1" t="s">
        <v>53</v>
      </c>
      <c r="B24" s="21" t="n">
        <v>46242</v>
      </c>
      <c r="C24" s="1" t="s">
        <v>54</v>
      </c>
      <c r="D24" s="1" t="s">
        <v>89</v>
      </c>
      <c r="E24" s="1" t="s">
        <v>56</v>
      </c>
      <c r="F24" s="1" t="s">
        <v>57</v>
      </c>
      <c r="G24" s="1" t="s">
        <v>10</v>
      </c>
      <c r="H24" s="1" t="s">
        <v>11</v>
      </c>
      <c r="I24" s="22" t="n">
        <v>11900.83</v>
      </c>
      <c r="J24" s="23" t="n">
        <v>21</v>
      </c>
      <c r="K24" s="22" t="n">
        <v>2499.17</v>
      </c>
      <c r="L24" s="22" t="n">
        <v>0</v>
      </c>
      <c r="M24" s="22" t="n">
        <v>0</v>
      </c>
      <c r="N24" s="22" t="n">
        <v>14400</v>
      </c>
      <c r="Z24" s="1" t="str">
        <f aca="false">LEFT(D24,FIND(" ",D24)-1)</f>
        <v>FC</v>
      </c>
      <c r="AA24" s="1" t="str">
        <f aca="false">MID(D24,FIND(" ",D24)+1,1)</f>
        <v>B</v>
      </c>
      <c r="AB24" s="1" t="str">
        <f aca="false">Z24&amp;" "&amp;AA24</f>
        <v>FC B</v>
      </c>
    </row>
    <row r="25" customFormat="false" ht="15" hidden="false" customHeight="true" outlineLevel="0" collapsed="false">
      <c r="A25" s="1" t="s">
        <v>53</v>
      </c>
      <c r="B25" s="21" t="n">
        <v>46242</v>
      </c>
      <c r="C25" s="1" t="s">
        <v>54</v>
      </c>
      <c r="D25" s="1" t="s">
        <v>90</v>
      </c>
      <c r="E25" s="1" t="s">
        <v>56</v>
      </c>
      <c r="F25" s="1" t="s">
        <v>57</v>
      </c>
      <c r="G25" s="1" t="s">
        <v>10</v>
      </c>
      <c r="H25" s="1" t="s">
        <v>11</v>
      </c>
      <c r="I25" s="22" t="n">
        <v>11900.83</v>
      </c>
      <c r="J25" s="23" t="n">
        <v>21</v>
      </c>
      <c r="K25" s="22" t="n">
        <v>2499.17</v>
      </c>
      <c r="L25" s="22" t="n">
        <v>0</v>
      </c>
      <c r="M25" s="22" t="n">
        <v>0</v>
      </c>
      <c r="N25" s="22" t="n">
        <v>14400</v>
      </c>
      <c r="Z25" s="1" t="str">
        <f aca="false">LEFT(D25,FIND(" ",D25)-1)</f>
        <v>FC</v>
      </c>
      <c r="AA25" s="1" t="str">
        <f aca="false">MID(D25,FIND(" ",D25)+1,1)</f>
        <v>B</v>
      </c>
      <c r="AB25" s="1" t="str">
        <f aca="false">Z25&amp;" "&amp;AA25</f>
        <v>FC B</v>
      </c>
    </row>
    <row r="26" customFormat="false" ht="15" hidden="false" customHeight="true" outlineLevel="0" collapsed="false">
      <c r="A26" s="1" t="s">
        <v>53</v>
      </c>
      <c r="B26" s="21" t="n">
        <v>46242</v>
      </c>
      <c r="C26" s="1" t="s">
        <v>54</v>
      </c>
      <c r="D26" s="1" t="s">
        <v>91</v>
      </c>
      <c r="E26" s="1" t="s">
        <v>56</v>
      </c>
      <c r="F26" s="1" t="s">
        <v>57</v>
      </c>
      <c r="G26" s="1" t="s">
        <v>10</v>
      </c>
      <c r="H26" s="1" t="s">
        <v>11</v>
      </c>
      <c r="I26" s="22" t="n">
        <v>11900.83</v>
      </c>
      <c r="J26" s="23" t="n">
        <v>21</v>
      </c>
      <c r="K26" s="22" t="n">
        <v>2499.17</v>
      </c>
      <c r="L26" s="22" t="n">
        <v>0</v>
      </c>
      <c r="M26" s="22" t="n">
        <v>0</v>
      </c>
      <c r="N26" s="22" t="n">
        <v>14400</v>
      </c>
      <c r="Z26" s="1" t="str">
        <f aca="false">LEFT(D26,FIND(" ",D26)-1)</f>
        <v>FC</v>
      </c>
      <c r="AA26" s="1" t="str">
        <f aca="false">MID(D26,FIND(" ",D26)+1,1)</f>
        <v>B</v>
      </c>
      <c r="AB26" s="1" t="str">
        <f aca="false">Z26&amp;" "&amp;AA26</f>
        <v>FC B</v>
      </c>
    </row>
    <row r="27" customFormat="false" ht="15" hidden="false" customHeight="true" outlineLevel="0" collapsed="false">
      <c r="A27" s="1" t="s">
        <v>53</v>
      </c>
      <c r="B27" s="21" t="n">
        <v>46245</v>
      </c>
      <c r="C27" s="1" t="s">
        <v>54</v>
      </c>
      <c r="D27" s="1" t="s">
        <v>92</v>
      </c>
      <c r="E27" s="1" t="s">
        <v>93</v>
      </c>
      <c r="F27" s="1" t="s">
        <v>57</v>
      </c>
      <c r="G27" s="1" t="s">
        <v>8</v>
      </c>
      <c r="H27" s="1" t="s">
        <v>9</v>
      </c>
      <c r="I27" s="22" t="n">
        <v>144793.39</v>
      </c>
      <c r="J27" s="23" t="n">
        <v>21</v>
      </c>
      <c r="K27" s="22" t="n">
        <v>30406.61</v>
      </c>
      <c r="L27" s="22" t="n">
        <v>0</v>
      </c>
      <c r="M27" s="22" t="n">
        <v>0</v>
      </c>
      <c r="N27" s="22" t="n">
        <v>175200</v>
      </c>
      <c r="Z27" s="1" t="str">
        <f aca="false">LEFT(D27,FIND(" ",D27)-1)</f>
        <v>FC</v>
      </c>
      <c r="AA27" s="1" t="str">
        <f aca="false">MID(D27,FIND(" ",D27)+1,1)</f>
        <v>B</v>
      </c>
      <c r="AB27" s="1" t="str">
        <f aca="false">Z27&amp;" "&amp;AA27</f>
        <v>FC B</v>
      </c>
    </row>
    <row r="28" customFormat="false" ht="15" hidden="false" customHeight="true" outlineLevel="0" collapsed="false">
      <c r="A28" s="1" t="s">
        <v>53</v>
      </c>
      <c r="B28" s="21" t="n">
        <v>46246</v>
      </c>
      <c r="C28" s="1" t="s">
        <v>54</v>
      </c>
      <c r="D28" s="1" t="s">
        <v>94</v>
      </c>
      <c r="E28" s="1" t="s">
        <v>95</v>
      </c>
      <c r="F28" s="1" t="s">
        <v>57</v>
      </c>
      <c r="G28" s="1" t="s">
        <v>8</v>
      </c>
      <c r="H28" s="1" t="s">
        <v>9</v>
      </c>
      <c r="I28" s="22" t="n">
        <v>99173.56</v>
      </c>
      <c r="J28" s="23" t="n">
        <v>21</v>
      </c>
      <c r="K28" s="22" t="n">
        <v>20826.45</v>
      </c>
      <c r="L28" s="22" t="n">
        <v>0</v>
      </c>
      <c r="M28" s="22" t="n">
        <v>0</v>
      </c>
      <c r="N28" s="22" t="n">
        <v>120000.01</v>
      </c>
      <c r="Z28" s="1" t="str">
        <f aca="false">LEFT(D28,FIND(" ",D28)-1)</f>
        <v>FC</v>
      </c>
      <c r="AA28" s="1" t="str">
        <f aca="false">MID(D28,FIND(" ",D28)+1,1)</f>
        <v>A</v>
      </c>
      <c r="AB28" s="1" t="str">
        <f aca="false">Z28&amp;" "&amp;AA28</f>
        <v>FC A</v>
      </c>
    </row>
    <row r="29" customFormat="false" ht="15" hidden="false" customHeight="true" outlineLevel="0" collapsed="false">
      <c r="A29" s="1" t="s">
        <v>53</v>
      </c>
      <c r="B29" s="21" t="n">
        <v>46247</v>
      </c>
      <c r="C29" s="1" t="s">
        <v>54</v>
      </c>
      <c r="D29" s="1" t="s">
        <v>96</v>
      </c>
      <c r="E29" s="1" t="s">
        <v>97</v>
      </c>
      <c r="F29" s="1" t="s">
        <v>57</v>
      </c>
      <c r="G29" s="1" t="s">
        <v>8</v>
      </c>
      <c r="H29" s="1" t="s">
        <v>9</v>
      </c>
      <c r="I29" s="22" t="n">
        <v>144793.4</v>
      </c>
      <c r="J29" s="23" t="n">
        <v>21</v>
      </c>
      <c r="K29" s="22" t="n">
        <v>30406.61</v>
      </c>
      <c r="L29" s="22" t="n">
        <v>0</v>
      </c>
      <c r="M29" s="22" t="n">
        <v>0</v>
      </c>
      <c r="N29" s="22" t="n">
        <v>175200.01</v>
      </c>
      <c r="Z29" s="1" t="str">
        <f aca="false">LEFT(D29,FIND(" ",D29)-1)</f>
        <v>FC</v>
      </c>
      <c r="AA29" s="1" t="str">
        <f aca="false">MID(D29,FIND(" ",D29)+1,1)</f>
        <v>A</v>
      </c>
      <c r="AB29" s="1" t="str">
        <f aca="false">Z29&amp;" "&amp;AA29</f>
        <v>FC A</v>
      </c>
    </row>
    <row r="30" customFormat="false" ht="15" hidden="false" customHeight="true" outlineLevel="0" collapsed="false">
      <c r="A30" s="1" t="s">
        <v>53</v>
      </c>
      <c r="B30" s="21" t="n">
        <v>46247</v>
      </c>
      <c r="C30" s="1" t="s">
        <v>54</v>
      </c>
      <c r="D30" s="1" t="s">
        <v>98</v>
      </c>
      <c r="E30" s="1" t="s">
        <v>99</v>
      </c>
      <c r="F30" s="1" t="s">
        <v>57</v>
      </c>
      <c r="G30" s="1" t="s">
        <v>8</v>
      </c>
      <c r="H30" s="1" t="s">
        <v>9</v>
      </c>
      <c r="I30" s="22" t="n">
        <v>347107.48</v>
      </c>
      <c r="J30" s="23" t="n">
        <v>21</v>
      </c>
      <c r="K30" s="22" t="n">
        <v>72892.57</v>
      </c>
      <c r="L30" s="22" t="n">
        <v>14999.97</v>
      </c>
      <c r="M30" s="22" t="n">
        <v>0</v>
      </c>
      <c r="N30" s="22" t="n">
        <v>435000.02</v>
      </c>
      <c r="Z30" s="1" t="str">
        <f aca="false">LEFT(D30,FIND(" ",D30)-1)</f>
        <v>FC</v>
      </c>
      <c r="AA30" s="1" t="str">
        <f aca="false">MID(D30,FIND(" ",D30)+1,1)</f>
        <v>A</v>
      </c>
      <c r="AB30" s="1" t="str">
        <f aca="false">Z30&amp;" "&amp;AA30</f>
        <v>FC A</v>
      </c>
    </row>
    <row r="31" customFormat="false" ht="15" hidden="false" customHeight="true" outlineLevel="0" collapsed="false">
      <c r="A31" s="1" t="s">
        <v>53</v>
      </c>
      <c r="B31" s="21" t="n">
        <v>46247</v>
      </c>
      <c r="C31" s="1" t="s">
        <v>100</v>
      </c>
      <c r="D31" s="1" t="s">
        <v>101</v>
      </c>
      <c r="E31" s="1" t="s">
        <v>93</v>
      </c>
      <c r="F31" s="1" t="s">
        <v>57</v>
      </c>
      <c r="G31" s="1" t="s">
        <v>8</v>
      </c>
      <c r="H31" s="1" t="s">
        <v>9</v>
      </c>
      <c r="I31" s="22" t="n">
        <v>-144793.39</v>
      </c>
      <c r="J31" s="23" t="n">
        <v>21</v>
      </c>
      <c r="K31" s="22" t="n">
        <v>-30406.61</v>
      </c>
      <c r="L31" s="22" t="n">
        <v>0</v>
      </c>
      <c r="M31" s="22" t="n">
        <v>0</v>
      </c>
      <c r="N31" s="22" t="n">
        <v>-175200</v>
      </c>
      <c r="Z31" s="1" t="str">
        <f aca="false">LEFT(D31,FIND(" ",D31)-1)</f>
        <v>NCR</v>
      </c>
      <c r="AA31" s="1" t="str">
        <f aca="false">MID(D31,FIND(" ",D31)+1,1)</f>
        <v>B</v>
      </c>
      <c r="AB31" s="1" t="str">
        <f aca="false">Z31&amp;" "&amp;AA31</f>
        <v>NCR B</v>
      </c>
    </row>
    <row r="32" customFormat="false" ht="15" hidden="false" customHeight="true" outlineLevel="0" collapsed="false">
      <c r="A32" s="1" t="s">
        <v>53</v>
      </c>
      <c r="B32" s="21" t="n">
        <v>46248</v>
      </c>
      <c r="C32" s="1" t="s">
        <v>54</v>
      </c>
      <c r="D32" s="1" t="s">
        <v>102</v>
      </c>
      <c r="E32" s="1" t="s">
        <v>103</v>
      </c>
      <c r="F32" s="1" t="s">
        <v>57</v>
      </c>
      <c r="G32" s="1" t="s">
        <v>8</v>
      </c>
      <c r="H32" s="1" t="s">
        <v>9</v>
      </c>
      <c r="I32" s="22" t="n">
        <v>404628.09</v>
      </c>
      <c r="J32" s="23" t="n">
        <v>21</v>
      </c>
      <c r="K32" s="22" t="n">
        <v>84971.91</v>
      </c>
      <c r="L32" s="22" t="n">
        <v>0</v>
      </c>
      <c r="M32" s="22" t="n">
        <v>0</v>
      </c>
      <c r="N32" s="22" t="n">
        <v>489600</v>
      </c>
      <c r="Z32" s="1" t="str">
        <f aca="false">LEFT(D32,FIND(" ",D32)-1)</f>
        <v>FC</v>
      </c>
      <c r="AA32" s="1" t="str">
        <f aca="false">MID(D32,FIND(" ",D32)+1,1)</f>
        <v>B</v>
      </c>
      <c r="AB32" s="1" t="str">
        <f aca="false">Z32&amp;" "&amp;AA32</f>
        <v>FC B</v>
      </c>
    </row>
    <row r="33" customFormat="false" ht="15" hidden="false" customHeight="true" outlineLevel="0" collapsed="false">
      <c r="A33" s="1" t="s">
        <v>53</v>
      </c>
      <c r="B33" s="21" t="n">
        <v>46248</v>
      </c>
      <c r="C33" s="1" t="s">
        <v>54</v>
      </c>
      <c r="D33" s="1" t="s">
        <v>104</v>
      </c>
      <c r="E33" s="1" t="s">
        <v>56</v>
      </c>
      <c r="F33" s="1" t="s">
        <v>57</v>
      </c>
      <c r="G33" s="1" t="s">
        <v>10</v>
      </c>
      <c r="H33" s="1" t="s">
        <v>11</v>
      </c>
      <c r="I33" s="22" t="n">
        <v>84793.39</v>
      </c>
      <c r="J33" s="23" t="n">
        <v>21</v>
      </c>
      <c r="K33" s="22" t="n">
        <v>17806.61</v>
      </c>
      <c r="L33" s="22" t="n">
        <v>0</v>
      </c>
      <c r="M33" s="22" t="n">
        <v>0</v>
      </c>
      <c r="N33" s="22" t="n">
        <v>102600</v>
      </c>
      <c r="Z33" s="1" t="str">
        <f aca="false">LEFT(D33,FIND(" ",D33)-1)</f>
        <v>FC</v>
      </c>
      <c r="AA33" s="1" t="str">
        <f aca="false">MID(D33,FIND(" ",D33)+1,1)</f>
        <v>B</v>
      </c>
      <c r="AB33" s="1" t="str">
        <f aca="false">Z33&amp;" "&amp;AA33</f>
        <v>FC B</v>
      </c>
    </row>
    <row r="34" customFormat="false" ht="15" hidden="false" customHeight="true" outlineLevel="0" collapsed="false">
      <c r="A34" s="1" t="s">
        <v>53</v>
      </c>
      <c r="B34" s="21" t="n">
        <v>46248</v>
      </c>
      <c r="C34" s="1" t="s">
        <v>54</v>
      </c>
      <c r="D34" s="1" t="s">
        <v>105</v>
      </c>
      <c r="E34" s="1" t="s">
        <v>56</v>
      </c>
      <c r="F34" s="1" t="s">
        <v>57</v>
      </c>
      <c r="G34" s="1" t="s">
        <v>10</v>
      </c>
      <c r="H34" s="1" t="s">
        <v>11</v>
      </c>
      <c r="I34" s="22" t="n">
        <v>32479.34</v>
      </c>
      <c r="J34" s="23" t="n">
        <v>21</v>
      </c>
      <c r="K34" s="22" t="n">
        <v>6820.66</v>
      </c>
      <c r="L34" s="22" t="n">
        <v>0</v>
      </c>
      <c r="M34" s="22" t="n">
        <v>0</v>
      </c>
      <c r="N34" s="22" t="n">
        <v>39300</v>
      </c>
      <c r="Z34" s="1" t="str">
        <f aca="false">LEFT(D34,FIND(" ",D34)-1)</f>
        <v>FC</v>
      </c>
      <c r="AA34" s="1" t="str">
        <f aca="false">MID(D34,FIND(" ",D34)+1,1)</f>
        <v>B</v>
      </c>
      <c r="AB34" s="1" t="str">
        <f aca="false">Z34&amp;" "&amp;AA34</f>
        <v>FC B</v>
      </c>
    </row>
    <row r="35" customFormat="false" ht="15" hidden="false" customHeight="true" outlineLevel="0" collapsed="false">
      <c r="A35" s="1" t="s">
        <v>53</v>
      </c>
      <c r="B35" s="21" t="n">
        <v>46249</v>
      </c>
      <c r="C35" s="1" t="s">
        <v>54</v>
      </c>
      <c r="D35" s="1" t="s">
        <v>106</v>
      </c>
      <c r="E35" s="1" t="s">
        <v>107</v>
      </c>
      <c r="F35" s="1" t="s">
        <v>57</v>
      </c>
      <c r="G35" s="1" t="s">
        <v>8</v>
      </c>
      <c r="H35" s="1" t="s">
        <v>9</v>
      </c>
      <c r="I35" s="22" t="n">
        <v>924793.41</v>
      </c>
      <c r="J35" s="23" t="n">
        <v>21</v>
      </c>
      <c r="K35" s="22" t="n">
        <v>194206.62</v>
      </c>
      <c r="L35" s="22" t="n">
        <v>0</v>
      </c>
      <c r="M35" s="22" t="n">
        <v>0</v>
      </c>
      <c r="N35" s="22" t="n">
        <v>1119000.03</v>
      </c>
      <c r="Z35" s="1" t="str">
        <f aca="false">LEFT(D35,FIND(" ",D35)-1)</f>
        <v>FC</v>
      </c>
      <c r="AA35" s="1" t="str">
        <f aca="false">MID(D35,FIND(" ",D35)+1,1)</f>
        <v>A</v>
      </c>
      <c r="AB35" s="1" t="str">
        <f aca="false">Z35&amp;" "&amp;AA35</f>
        <v>FC A</v>
      </c>
    </row>
    <row r="36" customFormat="false" ht="15" hidden="false" customHeight="true" outlineLevel="0" collapsed="false">
      <c r="A36" s="1" t="s">
        <v>53</v>
      </c>
      <c r="B36" s="21" t="n">
        <v>46252</v>
      </c>
      <c r="C36" s="1" t="s">
        <v>54</v>
      </c>
      <c r="D36" s="1" t="s">
        <v>108</v>
      </c>
      <c r="E36" s="1" t="s">
        <v>109</v>
      </c>
      <c r="F36" s="1" t="s">
        <v>57</v>
      </c>
      <c r="G36" s="1" t="s">
        <v>8</v>
      </c>
      <c r="H36" s="1" t="s">
        <v>9</v>
      </c>
      <c r="I36" s="22" t="n">
        <v>1557024.8</v>
      </c>
      <c r="J36" s="23" t="n">
        <v>21</v>
      </c>
      <c r="K36" s="22" t="n">
        <v>326975.2</v>
      </c>
      <c r="L36" s="22" t="n">
        <v>0</v>
      </c>
      <c r="M36" s="22" t="n">
        <v>0</v>
      </c>
      <c r="N36" s="22" t="n">
        <v>1884000</v>
      </c>
      <c r="Z36" s="1" t="str">
        <f aca="false">LEFT(D36,FIND(" ",D36)-1)</f>
        <v>FC</v>
      </c>
      <c r="AA36" s="1" t="str">
        <f aca="false">MID(D36,FIND(" ",D36)+1,1)</f>
        <v>A</v>
      </c>
      <c r="AB36" s="1" t="str">
        <f aca="false">Z36&amp;" "&amp;AA36</f>
        <v>FC A</v>
      </c>
    </row>
    <row r="37" customFormat="false" ht="15" hidden="false" customHeight="true" outlineLevel="0" collapsed="false">
      <c r="A37" s="1" t="s">
        <v>53</v>
      </c>
      <c r="B37" s="21" t="n">
        <v>46252</v>
      </c>
      <c r="C37" s="1" t="s">
        <v>54</v>
      </c>
      <c r="D37" s="1" t="s">
        <v>110</v>
      </c>
      <c r="E37" s="1" t="s">
        <v>111</v>
      </c>
      <c r="F37" s="1" t="s">
        <v>57</v>
      </c>
      <c r="G37" s="1" t="s">
        <v>8</v>
      </c>
      <c r="H37" s="1" t="s">
        <v>9</v>
      </c>
      <c r="I37" s="22" t="n">
        <v>404628.09</v>
      </c>
      <c r="J37" s="23" t="n">
        <v>21</v>
      </c>
      <c r="K37" s="22" t="n">
        <v>84971.91</v>
      </c>
      <c r="L37" s="22" t="n">
        <v>0</v>
      </c>
      <c r="M37" s="22" t="n">
        <v>0</v>
      </c>
      <c r="N37" s="22" t="n">
        <v>489600</v>
      </c>
      <c r="Z37" s="1" t="str">
        <f aca="false">LEFT(D37,FIND(" ",D37)-1)</f>
        <v>FC</v>
      </c>
      <c r="AA37" s="1" t="str">
        <f aca="false">MID(D37,FIND(" ",D37)+1,1)</f>
        <v>B</v>
      </c>
      <c r="AB37" s="1" t="str">
        <f aca="false">Z37&amp;" "&amp;AA37</f>
        <v>FC B</v>
      </c>
    </row>
    <row r="38" customFormat="false" ht="15" hidden="false" customHeight="true" outlineLevel="0" collapsed="false">
      <c r="A38" s="1" t="s">
        <v>53</v>
      </c>
      <c r="B38" s="21" t="n">
        <v>46252</v>
      </c>
      <c r="C38" s="1" t="s">
        <v>100</v>
      </c>
      <c r="D38" s="1" t="s">
        <v>112</v>
      </c>
      <c r="E38" s="1" t="s">
        <v>103</v>
      </c>
      <c r="F38" s="1" t="s">
        <v>57</v>
      </c>
      <c r="G38" s="1" t="s">
        <v>8</v>
      </c>
      <c r="H38" s="1" t="s">
        <v>9</v>
      </c>
      <c r="I38" s="22" t="n">
        <v>-404628.1</v>
      </c>
      <c r="J38" s="23" t="n">
        <v>21</v>
      </c>
      <c r="K38" s="22" t="n">
        <v>-84971.9</v>
      </c>
      <c r="L38" s="22" t="n">
        <v>0</v>
      </c>
      <c r="M38" s="22" t="n">
        <v>0</v>
      </c>
      <c r="N38" s="22" t="n">
        <v>-489600</v>
      </c>
      <c r="Z38" s="1" t="str">
        <f aca="false">LEFT(D38,FIND(" ",D38)-1)</f>
        <v>NCR</v>
      </c>
      <c r="AA38" s="1" t="str">
        <f aca="false">MID(D38,FIND(" ",D38)+1,1)</f>
        <v>B</v>
      </c>
      <c r="AB38" s="1" t="str">
        <f aca="false">Z38&amp;" "&amp;AA38</f>
        <v>NCR B</v>
      </c>
    </row>
    <row r="39" customFormat="false" ht="15" hidden="false" customHeight="true" outlineLevel="0" collapsed="false">
      <c r="A39" s="1" t="s">
        <v>53</v>
      </c>
      <c r="B39" s="21" t="n">
        <v>46253</v>
      </c>
      <c r="C39" s="1" t="s">
        <v>54</v>
      </c>
      <c r="D39" s="1" t="s">
        <v>113</v>
      </c>
      <c r="E39" s="1" t="s">
        <v>56</v>
      </c>
      <c r="F39" s="1" t="s">
        <v>57</v>
      </c>
      <c r="G39" s="1" t="s">
        <v>10</v>
      </c>
      <c r="H39" s="1" t="s">
        <v>11</v>
      </c>
      <c r="I39" s="22" t="n">
        <v>17851.24</v>
      </c>
      <c r="J39" s="23" t="n">
        <v>21</v>
      </c>
      <c r="K39" s="22" t="n">
        <v>3748.76</v>
      </c>
      <c r="L39" s="22" t="n">
        <v>0</v>
      </c>
      <c r="M39" s="22" t="n">
        <v>0</v>
      </c>
      <c r="N39" s="22" t="n">
        <v>21600</v>
      </c>
      <c r="Z39" s="1" t="str">
        <f aca="false">LEFT(D39,FIND(" ",D39)-1)</f>
        <v>FC</v>
      </c>
      <c r="AA39" s="1" t="str">
        <f aca="false">MID(D39,FIND(" ",D39)+1,1)</f>
        <v>B</v>
      </c>
      <c r="AB39" s="1" t="str">
        <f aca="false">Z39&amp;" "&amp;AA39</f>
        <v>FC B</v>
      </c>
    </row>
    <row r="40" customFormat="false" ht="15" hidden="false" customHeight="true" outlineLevel="0" collapsed="false">
      <c r="A40" s="1" t="s">
        <v>53</v>
      </c>
      <c r="B40" s="21" t="n">
        <v>46253</v>
      </c>
      <c r="C40" s="1" t="s">
        <v>54</v>
      </c>
      <c r="D40" s="1" t="s">
        <v>114</v>
      </c>
      <c r="E40" s="1" t="s">
        <v>56</v>
      </c>
      <c r="F40" s="1" t="s">
        <v>57</v>
      </c>
      <c r="G40" s="1" t="s">
        <v>10</v>
      </c>
      <c r="H40" s="1" t="s">
        <v>11</v>
      </c>
      <c r="I40" s="22" t="n">
        <v>165609.09</v>
      </c>
      <c r="J40" s="23" t="n">
        <v>21</v>
      </c>
      <c r="K40" s="22" t="n">
        <v>34777.91</v>
      </c>
      <c r="L40" s="22" t="n">
        <v>0</v>
      </c>
      <c r="M40" s="22" t="n">
        <v>0</v>
      </c>
      <c r="N40" s="22" t="n">
        <v>200387</v>
      </c>
      <c r="Z40" s="1" t="str">
        <f aca="false">LEFT(D40,FIND(" ",D40)-1)</f>
        <v>FC</v>
      </c>
      <c r="AA40" s="1" t="str">
        <f aca="false">MID(D40,FIND(" ",D40)+1,1)</f>
        <v>B</v>
      </c>
      <c r="AB40" s="1" t="str">
        <f aca="false">Z40&amp;" "&amp;AA40</f>
        <v>FC B</v>
      </c>
    </row>
    <row r="41" customFormat="false" ht="15" hidden="false" customHeight="true" outlineLevel="0" collapsed="false">
      <c r="A41" s="1" t="s">
        <v>53</v>
      </c>
      <c r="B41" s="21" t="n">
        <v>46253</v>
      </c>
      <c r="C41" s="1" t="s">
        <v>54</v>
      </c>
      <c r="D41" s="1" t="s">
        <v>115</v>
      </c>
      <c r="E41" s="1" t="s">
        <v>56</v>
      </c>
      <c r="F41" s="1" t="s">
        <v>57</v>
      </c>
      <c r="G41" s="1" t="s">
        <v>10</v>
      </c>
      <c r="H41" s="1" t="s">
        <v>11</v>
      </c>
      <c r="I41" s="22" t="n">
        <v>20495.87</v>
      </c>
      <c r="J41" s="23" t="n">
        <v>21</v>
      </c>
      <c r="K41" s="22" t="n">
        <v>4304.13</v>
      </c>
      <c r="L41" s="22" t="n">
        <v>0</v>
      </c>
      <c r="M41" s="22" t="n">
        <v>0</v>
      </c>
      <c r="N41" s="22" t="n">
        <v>24800</v>
      </c>
      <c r="Z41" s="1" t="str">
        <f aca="false">LEFT(D41,FIND(" ",D41)-1)</f>
        <v>FC</v>
      </c>
      <c r="AA41" s="1" t="str">
        <f aca="false">MID(D41,FIND(" ",D41)+1,1)</f>
        <v>B</v>
      </c>
      <c r="AB41" s="1" t="str">
        <f aca="false">Z41&amp;" "&amp;AA41</f>
        <v>FC B</v>
      </c>
    </row>
    <row r="42" customFormat="false" ht="15" hidden="false" customHeight="true" outlineLevel="0" collapsed="false">
      <c r="A42" s="1" t="s">
        <v>53</v>
      </c>
      <c r="B42" s="21" t="n">
        <v>46253</v>
      </c>
      <c r="C42" s="1" t="s">
        <v>54</v>
      </c>
      <c r="D42" s="1" t="s">
        <v>116</v>
      </c>
      <c r="E42" s="1" t="s">
        <v>56</v>
      </c>
      <c r="F42" s="1" t="s">
        <v>57</v>
      </c>
      <c r="G42" s="1" t="s">
        <v>10</v>
      </c>
      <c r="H42" s="1" t="s">
        <v>11</v>
      </c>
      <c r="I42" s="22" t="n">
        <v>31818.18</v>
      </c>
      <c r="J42" s="23" t="n">
        <v>21</v>
      </c>
      <c r="K42" s="22" t="n">
        <v>6681.82</v>
      </c>
      <c r="L42" s="22" t="n">
        <v>0</v>
      </c>
      <c r="M42" s="22" t="n">
        <v>0</v>
      </c>
      <c r="N42" s="22" t="n">
        <v>38500</v>
      </c>
      <c r="Z42" s="1" t="str">
        <f aca="false">LEFT(D42,FIND(" ",D42)-1)</f>
        <v>FC</v>
      </c>
      <c r="AA42" s="1" t="str">
        <f aca="false">MID(D42,FIND(" ",D42)+1,1)</f>
        <v>B</v>
      </c>
      <c r="AB42" s="1" t="str">
        <f aca="false">Z42&amp;" "&amp;AA42</f>
        <v>FC B</v>
      </c>
    </row>
    <row r="43" customFormat="false" ht="15" hidden="false" customHeight="true" outlineLevel="0" collapsed="false">
      <c r="A43" s="1" t="s">
        <v>53</v>
      </c>
      <c r="B43" s="21" t="n">
        <v>46253</v>
      </c>
      <c r="C43" s="1" t="s">
        <v>54</v>
      </c>
      <c r="D43" s="1" t="s">
        <v>117</v>
      </c>
      <c r="E43" s="1" t="s">
        <v>56</v>
      </c>
      <c r="F43" s="1" t="s">
        <v>57</v>
      </c>
      <c r="G43" s="1" t="s">
        <v>10</v>
      </c>
      <c r="H43" s="1" t="s">
        <v>11</v>
      </c>
      <c r="I43" s="22" t="n">
        <v>33884.3</v>
      </c>
      <c r="J43" s="23" t="n">
        <v>21</v>
      </c>
      <c r="K43" s="22" t="n">
        <v>7115.7</v>
      </c>
      <c r="L43" s="22" t="n">
        <v>0</v>
      </c>
      <c r="M43" s="22" t="n">
        <v>0</v>
      </c>
      <c r="N43" s="22" t="n">
        <v>41000</v>
      </c>
      <c r="Z43" s="1" t="str">
        <f aca="false">LEFT(D43,FIND(" ",D43)-1)</f>
        <v>FC</v>
      </c>
      <c r="AA43" s="1" t="str">
        <f aca="false">MID(D43,FIND(" ",D43)+1,1)</f>
        <v>B</v>
      </c>
      <c r="AB43" s="1" t="str">
        <f aca="false">Z43&amp;" "&amp;AA43</f>
        <v>FC B</v>
      </c>
    </row>
    <row r="44" customFormat="false" ht="15" hidden="false" customHeight="true" outlineLevel="0" collapsed="false">
      <c r="A44" s="1" t="s">
        <v>53</v>
      </c>
      <c r="B44" s="21" t="n">
        <v>46253</v>
      </c>
      <c r="C44" s="1" t="s">
        <v>54</v>
      </c>
      <c r="D44" s="1" t="s">
        <v>118</v>
      </c>
      <c r="E44" s="1" t="s">
        <v>56</v>
      </c>
      <c r="F44" s="1" t="s">
        <v>57</v>
      </c>
      <c r="G44" s="1" t="s">
        <v>10</v>
      </c>
      <c r="H44" s="1" t="s">
        <v>11</v>
      </c>
      <c r="I44" s="22" t="n">
        <v>173553.72</v>
      </c>
      <c r="J44" s="23" t="n">
        <v>21</v>
      </c>
      <c r="K44" s="22" t="n">
        <v>36446.28</v>
      </c>
      <c r="L44" s="22" t="n">
        <v>0</v>
      </c>
      <c r="M44" s="22" t="n">
        <v>0</v>
      </c>
      <c r="N44" s="22" t="n">
        <v>210000</v>
      </c>
      <c r="Z44" s="1" t="str">
        <f aca="false">LEFT(D44,FIND(" ",D44)-1)</f>
        <v>FC</v>
      </c>
      <c r="AA44" s="1" t="str">
        <f aca="false">MID(D44,FIND(" ",D44)+1,1)</f>
        <v>B</v>
      </c>
      <c r="AB44" s="1" t="str">
        <f aca="false">Z44&amp;" "&amp;AA44</f>
        <v>FC B</v>
      </c>
    </row>
    <row r="45" customFormat="false" ht="15" hidden="false" customHeight="true" outlineLevel="0" collapsed="false">
      <c r="A45" s="1" t="s">
        <v>53</v>
      </c>
      <c r="B45" s="21" t="n">
        <v>46253</v>
      </c>
      <c r="C45" s="1" t="s">
        <v>54</v>
      </c>
      <c r="D45" s="1" t="s">
        <v>119</v>
      </c>
      <c r="E45" s="1" t="s">
        <v>56</v>
      </c>
      <c r="F45" s="1" t="s">
        <v>57</v>
      </c>
      <c r="G45" s="1" t="s">
        <v>10</v>
      </c>
      <c r="H45" s="1" t="s">
        <v>11</v>
      </c>
      <c r="I45" s="22" t="n">
        <v>105785.12</v>
      </c>
      <c r="J45" s="23" t="n">
        <v>21</v>
      </c>
      <c r="K45" s="22" t="n">
        <v>22214.88</v>
      </c>
      <c r="L45" s="22" t="n">
        <v>0</v>
      </c>
      <c r="M45" s="22" t="n">
        <v>0</v>
      </c>
      <c r="N45" s="22" t="n">
        <v>128000</v>
      </c>
      <c r="Z45" s="1" t="str">
        <f aca="false">LEFT(D45,FIND(" ",D45)-1)</f>
        <v>FC</v>
      </c>
      <c r="AA45" s="1" t="str">
        <f aca="false">MID(D45,FIND(" ",D45)+1,1)</f>
        <v>B</v>
      </c>
      <c r="AB45" s="1" t="str">
        <f aca="false">Z45&amp;" "&amp;AA45</f>
        <v>FC B</v>
      </c>
    </row>
    <row r="46" customFormat="false" ht="15" hidden="false" customHeight="true" outlineLevel="0" collapsed="false">
      <c r="A46" s="1" t="s">
        <v>53</v>
      </c>
      <c r="B46" s="21" t="n">
        <v>46253</v>
      </c>
      <c r="C46" s="1" t="s">
        <v>54</v>
      </c>
      <c r="D46" s="1" t="s">
        <v>120</v>
      </c>
      <c r="E46" s="1" t="s">
        <v>56</v>
      </c>
      <c r="F46" s="1" t="s">
        <v>57</v>
      </c>
      <c r="G46" s="1" t="s">
        <v>10</v>
      </c>
      <c r="H46" s="1" t="s">
        <v>11</v>
      </c>
      <c r="I46" s="22" t="n">
        <v>6198.35</v>
      </c>
      <c r="J46" s="23" t="n">
        <v>21</v>
      </c>
      <c r="K46" s="22" t="n">
        <v>1301.65</v>
      </c>
      <c r="L46" s="22" t="n">
        <v>0</v>
      </c>
      <c r="M46" s="22" t="n">
        <v>0</v>
      </c>
      <c r="N46" s="22" t="n">
        <v>7500</v>
      </c>
      <c r="Z46" s="1" t="str">
        <f aca="false">LEFT(D46,FIND(" ",D46)-1)</f>
        <v>FC</v>
      </c>
      <c r="AA46" s="1" t="str">
        <f aca="false">MID(D46,FIND(" ",D46)+1,1)</f>
        <v>B</v>
      </c>
      <c r="AB46" s="1" t="str">
        <f aca="false">Z46&amp;" "&amp;AA46</f>
        <v>FC B</v>
      </c>
    </row>
    <row r="47" customFormat="false" ht="15" hidden="false" customHeight="true" outlineLevel="0" collapsed="false">
      <c r="A47" s="1" t="s">
        <v>53</v>
      </c>
      <c r="B47" s="21" t="n">
        <v>46253</v>
      </c>
      <c r="C47" s="1" t="s">
        <v>54</v>
      </c>
      <c r="D47" s="1" t="s">
        <v>121</v>
      </c>
      <c r="E47" s="1" t="s">
        <v>56</v>
      </c>
      <c r="F47" s="1" t="s">
        <v>57</v>
      </c>
      <c r="G47" s="1" t="s">
        <v>10</v>
      </c>
      <c r="H47" s="1" t="s">
        <v>11</v>
      </c>
      <c r="I47" s="22" t="n">
        <v>70661.16</v>
      </c>
      <c r="J47" s="23" t="n">
        <v>21</v>
      </c>
      <c r="K47" s="22" t="n">
        <v>14838.84</v>
      </c>
      <c r="L47" s="22" t="n">
        <v>0</v>
      </c>
      <c r="M47" s="22" t="n">
        <v>0</v>
      </c>
      <c r="N47" s="22" t="n">
        <v>85500</v>
      </c>
      <c r="Z47" s="1" t="str">
        <f aca="false">LEFT(D47,FIND(" ",D47)-1)</f>
        <v>FC</v>
      </c>
      <c r="AA47" s="1" t="str">
        <f aca="false">MID(D47,FIND(" ",D47)+1,1)</f>
        <v>B</v>
      </c>
      <c r="AB47" s="1" t="str">
        <f aca="false">Z47&amp;" "&amp;AA47</f>
        <v>FC B</v>
      </c>
    </row>
    <row r="48" customFormat="false" ht="15" hidden="false" customHeight="true" outlineLevel="0" collapsed="false">
      <c r="A48" s="1" t="s">
        <v>53</v>
      </c>
      <c r="B48" s="21" t="n">
        <v>46253</v>
      </c>
      <c r="C48" s="1" t="s">
        <v>54</v>
      </c>
      <c r="D48" s="1" t="s">
        <v>122</v>
      </c>
      <c r="E48" s="1" t="s">
        <v>56</v>
      </c>
      <c r="F48" s="1" t="s">
        <v>57</v>
      </c>
      <c r="G48" s="1" t="s">
        <v>10</v>
      </c>
      <c r="H48" s="1" t="s">
        <v>11</v>
      </c>
      <c r="I48" s="22" t="n">
        <v>11900.83</v>
      </c>
      <c r="J48" s="23" t="n">
        <v>21</v>
      </c>
      <c r="K48" s="22" t="n">
        <v>2499.17</v>
      </c>
      <c r="L48" s="22" t="n">
        <v>0</v>
      </c>
      <c r="M48" s="22" t="n">
        <v>0</v>
      </c>
      <c r="N48" s="22" t="n">
        <v>14400</v>
      </c>
      <c r="Z48" s="1" t="str">
        <f aca="false">LEFT(D48,FIND(" ",D48)-1)</f>
        <v>FC</v>
      </c>
      <c r="AA48" s="1" t="str">
        <f aca="false">MID(D48,FIND(" ",D48)+1,1)</f>
        <v>B</v>
      </c>
      <c r="AB48" s="1" t="str">
        <f aca="false">Z48&amp;" "&amp;AA48</f>
        <v>FC B</v>
      </c>
    </row>
    <row r="49" customFormat="false" ht="15" hidden="false" customHeight="true" outlineLevel="0" collapsed="false">
      <c r="A49" s="1" t="s">
        <v>53</v>
      </c>
      <c r="B49" s="21" t="n">
        <v>46253</v>
      </c>
      <c r="C49" s="1" t="s">
        <v>54</v>
      </c>
      <c r="D49" s="1" t="s">
        <v>123</v>
      </c>
      <c r="E49" s="1" t="s">
        <v>56</v>
      </c>
      <c r="F49" s="1" t="s">
        <v>57</v>
      </c>
      <c r="G49" s="1" t="s">
        <v>10</v>
      </c>
      <c r="H49" s="1" t="s">
        <v>11</v>
      </c>
      <c r="I49" s="22" t="n">
        <v>34049.59</v>
      </c>
      <c r="J49" s="23" t="n">
        <v>21</v>
      </c>
      <c r="K49" s="22" t="n">
        <v>7150.41</v>
      </c>
      <c r="L49" s="22" t="n">
        <v>0</v>
      </c>
      <c r="M49" s="22" t="n">
        <v>0</v>
      </c>
      <c r="N49" s="22" t="n">
        <v>41200</v>
      </c>
      <c r="Z49" s="1" t="str">
        <f aca="false">LEFT(D49,FIND(" ",D49)-1)</f>
        <v>FC</v>
      </c>
      <c r="AA49" s="1" t="str">
        <f aca="false">MID(D49,FIND(" ",D49)+1,1)</f>
        <v>B</v>
      </c>
      <c r="AB49" s="1" t="str">
        <f aca="false">Z49&amp;" "&amp;AA49</f>
        <v>FC B</v>
      </c>
    </row>
    <row r="50" customFormat="false" ht="15" hidden="false" customHeight="true" outlineLevel="0" collapsed="false">
      <c r="A50" s="1" t="s">
        <v>53</v>
      </c>
      <c r="B50" s="21" t="n">
        <v>46253</v>
      </c>
      <c r="C50" s="1" t="s">
        <v>54</v>
      </c>
      <c r="D50" s="1" t="s">
        <v>124</v>
      </c>
      <c r="E50" s="1" t="s">
        <v>56</v>
      </c>
      <c r="F50" s="1" t="s">
        <v>57</v>
      </c>
      <c r="G50" s="1" t="s">
        <v>10</v>
      </c>
      <c r="H50" s="1" t="s">
        <v>11</v>
      </c>
      <c r="I50" s="22" t="n">
        <v>98553.72</v>
      </c>
      <c r="J50" s="23" t="n">
        <v>21</v>
      </c>
      <c r="K50" s="22" t="n">
        <v>20696.28</v>
      </c>
      <c r="L50" s="22" t="n">
        <v>0</v>
      </c>
      <c r="M50" s="22" t="n">
        <v>0</v>
      </c>
      <c r="N50" s="22" t="n">
        <v>119250</v>
      </c>
      <c r="Z50" s="1" t="str">
        <f aca="false">LEFT(D50,FIND(" ",D50)-1)</f>
        <v>FC</v>
      </c>
      <c r="AA50" s="1" t="str">
        <f aca="false">MID(D50,FIND(" ",D50)+1,1)</f>
        <v>B</v>
      </c>
      <c r="AB50" s="1" t="str">
        <f aca="false">Z50&amp;" "&amp;AA50</f>
        <v>FC B</v>
      </c>
    </row>
    <row r="51" customFormat="false" ht="15" hidden="false" customHeight="true" outlineLevel="0" collapsed="false">
      <c r="A51" s="1" t="s">
        <v>53</v>
      </c>
      <c r="B51" s="21" t="n">
        <v>46253</v>
      </c>
      <c r="C51" s="1" t="s">
        <v>54</v>
      </c>
      <c r="D51" s="1" t="s">
        <v>125</v>
      </c>
      <c r="E51" s="1" t="s">
        <v>56</v>
      </c>
      <c r="F51" s="1" t="s">
        <v>57</v>
      </c>
      <c r="G51" s="1" t="s">
        <v>10</v>
      </c>
      <c r="H51" s="1" t="s">
        <v>11</v>
      </c>
      <c r="I51" s="22" t="n">
        <v>64297.52</v>
      </c>
      <c r="J51" s="23" t="n">
        <v>21</v>
      </c>
      <c r="K51" s="22" t="n">
        <v>13502.48</v>
      </c>
      <c r="L51" s="22" t="n">
        <v>0</v>
      </c>
      <c r="M51" s="22" t="n">
        <v>0</v>
      </c>
      <c r="N51" s="22" t="n">
        <v>77800</v>
      </c>
      <c r="Z51" s="1" t="str">
        <f aca="false">LEFT(D51,FIND(" ",D51)-1)</f>
        <v>FC</v>
      </c>
      <c r="AA51" s="1" t="str">
        <f aca="false">MID(D51,FIND(" ",D51)+1,1)</f>
        <v>B</v>
      </c>
      <c r="AB51" s="1" t="str">
        <f aca="false">Z51&amp;" "&amp;AA51</f>
        <v>FC B</v>
      </c>
    </row>
    <row r="52" customFormat="false" ht="15" hidden="false" customHeight="true" outlineLevel="0" collapsed="false">
      <c r="A52" s="1" t="s">
        <v>53</v>
      </c>
      <c r="B52" s="21" t="n">
        <v>46253</v>
      </c>
      <c r="C52" s="1" t="s">
        <v>54</v>
      </c>
      <c r="D52" s="1" t="s">
        <v>126</v>
      </c>
      <c r="E52" s="1" t="s">
        <v>56</v>
      </c>
      <c r="F52" s="1" t="s">
        <v>57</v>
      </c>
      <c r="G52" s="1" t="s">
        <v>10</v>
      </c>
      <c r="H52" s="1" t="s">
        <v>11</v>
      </c>
      <c r="I52" s="22" t="n">
        <v>36363.64</v>
      </c>
      <c r="J52" s="23" t="n">
        <v>21</v>
      </c>
      <c r="K52" s="22" t="n">
        <v>7636.36</v>
      </c>
      <c r="L52" s="22" t="n">
        <v>0</v>
      </c>
      <c r="M52" s="22" t="n">
        <v>0</v>
      </c>
      <c r="N52" s="22" t="n">
        <v>44000</v>
      </c>
      <c r="Z52" s="1" t="str">
        <f aca="false">LEFT(D52,FIND(" ",D52)-1)</f>
        <v>FC</v>
      </c>
      <c r="AA52" s="1" t="str">
        <f aca="false">MID(D52,FIND(" ",D52)+1,1)</f>
        <v>B</v>
      </c>
      <c r="AB52" s="1" t="str">
        <f aca="false">Z52&amp;" "&amp;AA52</f>
        <v>FC B</v>
      </c>
    </row>
    <row r="53" customFormat="false" ht="15" hidden="false" customHeight="true" outlineLevel="0" collapsed="false">
      <c r="A53" s="1" t="s">
        <v>53</v>
      </c>
      <c r="B53" s="21" t="n">
        <v>46253</v>
      </c>
      <c r="C53" s="1" t="s">
        <v>54</v>
      </c>
      <c r="D53" s="1" t="s">
        <v>127</v>
      </c>
      <c r="E53" s="1" t="s">
        <v>56</v>
      </c>
      <c r="F53" s="1" t="s">
        <v>57</v>
      </c>
      <c r="G53" s="1" t="s">
        <v>10</v>
      </c>
      <c r="H53" s="1" t="s">
        <v>11</v>
      </c>
      <c r="I53" s="22" t="n">
        <v>93719.01</v>
      </c>
      <c r="J53" s="23" t="n">
        <v>21</v>
      </c>
      <c r="K53" s="22" t="n">
        <v>19680.99</v>
      </c>
      <c r="L53" s="22" t="n">
        <v>0</v>
      </c>
      <c r="M53" s="22" t="n">
        <v>0</v>
      </c>
      <c r="N53" s="22" t="n">
        <v>113400</v>
      </c>
      <c r="Z53" s="1" t="str">
        <f aca="false">LEFT(D53,FIND(" ",D53)-1)</f>
        <v>FC</v>
      </c>
      <c r="AA53" s="1" t="str">
        <f aca="false">MID(D53,FIND(" ",D53)+1,1)</f>
        <v>B</v>
      </c>
      <c r="AB53" s="1" t="str">
        <f aca="false">Z53&amp;" "&amp;AA53</f>
        <v>FC B</v>
      </c>
    </row>
    <row r="54" customFormat="false" ht="15" hidden="false" customHeight="true" outlineLevel="0" collapsed="false">
      <c r="A54" s="1" t="s">
        <v>53</v>
      </c>
      <c r="B54" s="21" t="n">
        <v>46253</v>
      </c>
      <c r="C54" s="1" t="s">
        <v>54</v>
      </c>
      <c r="D54" s="1" t="s">
        <v>128</v>
      </c>
      <c r="E54" s="1" t="s">
        <v>56</v>
      </c>
      <c r="F54" s="1" t="s">
        <v>57</v>
      </c>
      <c r="G54" s="1" t="s">
        <v>10</v>
      </c>
      <c r="H54" s="1" t="s">
        <v>11</v>
      </c>
      <c r="I54" s="22" t="n">
        <v>19338.84</v>
      </c>
      <c r="J54" s="23" t="n">
        <v>21</v>
      </c>
      <c r="K54" s="22" t="n">
        <v>4061.16</v>
      </c>
      <c r="L54" s="22" t="n">
        <v>0</v>
      </c>
      <c r="M54" s="22" t="n">
        <v>0</v>
      </c>
      <c r="N54" s="22" t="n">
        <v>23400</v>
      </c>
      <c r="Z54" s="1" t="str">
        <f aca="false">LEFT(D54,FIND(" ",D54)-1)</f>
        <v>FC</v>
      </c>
      <c r="AA54" s="1" t="str">
        <f aca="false">MID(D54,FIND(" ",D54)+1,1)</f>
        <v>B</v>
      </c>
      <c r="AB54" s="1" t="str">
        <f aca="false">Z54&amp;" "&amp;AA54</f>
        <v>FC B</v>
      </c>
    </row>
    <row r="55" customFormat="false" ht="15" hidden="false" customHeight="true" outlineLevel="0" collapsed="false">
      <c r="A55" s="1" t="s">
        <v>53</v>
      </c>
      <c r="B55" s="21" t="n">
        <v>46253</v>
      </c>
      <c r="C55" s="1" t="s">
        <v>54</v>
      </c>
      <c r="D55" s="1" t="s">
        <v>129</v>
      </c>
      <c r="E55" s="1" t="s">
        <v>56</v>
      </c>
      <c r="F55" s="1" t="s">
        <v>57</v>
      </c>
      <c r="G55" s="1" t="s">
        <v>10</v>
      </c>
      <c r="H55" s="1" t="s">
        <v>11</v>
      </c>
      <c r="I55" s="22" t="n">
        <v>61983.47</v>
      </c>
      <c r="J55" s="23" t="n">
        <v>21</v>
      </c>
      <c r="K55" s="22" t="n">
        <v>13016.53</v>
      </c>
      <c r="L55" s="22" t="n">
        <v>0</v>
      </c>
      <c r="M55" s="22" t="n">
        <v>0</v>
      </c>
      <c r="N55" s="22" t="n">
        <v>75000</v>
      </c>
      <c r="Z55" s="1" t="str">
        <f aca="false">LEFT(D55,FIND(" ",D55)-1)</f>
        <v>FC</v>
      </c>
      <c r="AA55" s="1" t="str">
        <f aca="false">MID(D55,FIND(" ",D55)+1,1)</f>
        <v>B</v>
      </c>
      <c r="AB55" s="1" t="str">
        <f aca="false">Z55&amp;" "&amp;AA55</f>
        <v>FC B</v>
      </c>
    </row>
    <row r="56" customFormat="false" ht="15" hidden="false" customHeight="true" outlineLevel="0" collapsed="false">
      <c r="A56" s="1" t="s">
        <v>53</v>
      </c>
      <c r="B56" s="21" t="n">
        <v>46255</v>
      </c>
      <c r="C56" s="1" t="s">
        <v>54</v>
      </c>
      <c r="D56" s="1" t="s">
        <v>130</v>
      </c>
      <c r="E56" s="1" t="s">
        <v>131</v>
      </c>
      <c r="F56" s="1" t="s">
        <v>57</v>
      </c>
      <c r="G56" s="1" t="s">
        <v>8</v>
      </c>
      <c r="H56" s="1" t="s">
        <v>9</v>
      </c>
      <c r="I56" s="22" t="n">
        <v>272727.28</v>
      </c>
      <c r="J56" s="23" t="n">
        <v>21</v>
      </c>
      <c r="K56" s="22" t="n">
        <v>57272.73</v>
      </c>
      <c r="L56" s="22" t="n">
        <v>0</v>
      </c>
      <c r="M56" s="22" t="n">
        <v>0</v>
      </c>
      <c r="N56" s="22" t="n">
        <v>330000.01</v>
      </c>
      <c r="Z56" s="1" t="str">
        <f aca="false">LEFT(D56,FIND(" ",D56)-1)</f>
        <v>FC</v>
      </c>
      <c r="AA56" s="1" t="str">
        <f aca="false">MID(D56,FIND(" ",D56)+1,1)</f>
        <v>A</v>
      </c>
      <c r="AB56" s="1" t="str">
        <f aca="false">Z56&amp;" "&amp;AA56</f>
        <v>FC A</v>
      </c>
    </row>
    <row r="57" customFormat="false" ht="15" hidden="false" customHeight="true" outlineLevel="0" collapsed="false">
      <c r="A57" s="1" t="s">
        <v>53</v>
      </c>
      <c r="B57" s="21" t="n">
        <v>46258</v>
      </c>
      <c r="C57" s="1" t="s">
        <v>54</v>
      </c>
      <c r="D57" s="1" t="s">
        <v>132</v>
      </c>
      <c r="E57" s="1" t="s">
        <v>133</v>
      </c>
      <c r="F57" s="1" t="s">
        <v>57</v>
      </c>
      <c r="G57" s="1" t="s">
        <v>8</v>
      </c>
      <c r="H57" s="1" t="s">
        <v>9</v>
      </c>
      <c r="I57" s="22" t="n">
        <v>177024.79</v>
      </c>
      <c r="J57" s="23" t="n">
        <v>21</v>
      </c>
      <c r="K57" s="22" t="n">
        <v>37175.21</v>
      </c>
      <c r="L57" s="22" t="n">
        <v>0</v>
      </c>
      <c r="M57" s="22" t="n">
        <v>0</v>
      </c>
      <c r="N57" s="22" t="n">
        <v>214200</v>
      </c>
      <c r="Z57" s="1" t="str">
        <f aca="false">LEFT(D57,FIND(" ",D57)-1)</f>
        <v>FC</v>
      </c>
      <c r="AA57" s="1" t="str">
        <f aca="false">MID(D57,FIND(" ",D57)+1,1)</f>
        <v>A</v>
      </c>
      <c r="AB57" s="1" t="str">
        <f aca="false">Z57&amp;" "&amp;AA57</f>
        <v>FC A</v>
      </c>
    </row>
    <row r="58" customFormat="false" ht="15" hidden="false" customHeight="true" outlineLevel="0" collapsed="false">
      <c r="A58" s="1" t="s">
        <v>53</v>
      </c>
      <c r="B58" s="21" t="n">
        <v>46258</v>
      </c>
      <c r="C58" s="1" t="s">
        <v>54</v>
      </c>
      <c r="D58" s="1" t="s">
        <v>134</v>
      </c>
      <c r="E58" s="1" t="s">
        <v>135</v>
      </c>
      <c r="F58" s="1" t="s">
        <v>57</v>
      </c>
      <c r="G58" s="1" t="s">
        <v>8</v>
      </c>
      <c r="H58" s="1" t="s">
        <v>9</v>
      </c>
      <c r="I58" s="22" t="n">
        <v>57851.24</v>
      </c>
      <c r="J58" s="23" t="n">
        <v>21</v>
      </c>
      <c r="K58" s="22" t="n">
        <v>12148.76</v>
      </c>
      <c r="L58" s="22" t="n">
        <v>0</v>
      </c>
      <c r="M58" s="22" t="n">
        <v>0</v>
      </c>
      <c r="N58" s="22" t="n">
        <v>70000</v>
      </c>
      <c r="Z58" s="1" t="str">
        <f aca="false">LEFT(D58,FIND(" ",D58)-1)</f>
        <v>FC</v>
      </c>
      <c r="AA58" s="1" t="str">
        <f aca="false">MID(D58,FIND(" ",D58)+1,1)</f>
        <v>B</v>
      </c>
      <c r="AB58" s="1" t="str">
        <f aca="false">Z58&amp;" "&amp;AA58</f>
        <v>FC B</v>
      </c>
    </row>
    <row r="59" customFormat="false" ht="15" hidden="false" customHeight="true" outlineLevel="0" collapsed="false">
      <c r="A59" s="1" t="s">
        <v>53</v>
      </c>
      <c r="B59" s="21" t="n">
        <v>46258</v>
      </c>
      <c r="C59" s="1" t="s">
        <v>54</v>
      </c>
      <c r="D59" s="1" t="s">
        <v>136</v>
      </c>
      <c r="E59" s="1" t="s">
        <v>137</v>
      </c>
      <c r="F59" s="1" t="s">
        <v>57</v>
      </c>
      <c r="G59" s="1" t="s">
        <v>8</v>
      </c>
      <c r="H59" s="1" t="s">
        <v>9</v>
      </c>
      <c r="I59" s="22" t="n">
        <v>139807.44</v>
      </c>
      <c r="J59" s="23" t="n">
        <v>21</v>
      </c>
      <c r="K59" s="22" t="n">
        <v>29359.56</v>
      </c>
      <c r="L59" s="22" t="n">
        <v>0</v>
      </c>
      <c r="M59" s="22" t="n">
        <v>0</v>
      </c>
      <c r="N59" s="22" t="n">
        <v>169167</v>
      </c>
      <c r="Z59" s="1" t="str">
        <f aca="false">LEFT(D59,FIND(" ",D59)-1)</f>
        <v>FC</v>
      </c>
      <c r="AA59" s="1" t="str">
        <f aca="false">MID(D59,FIND(" ",D59)+1,1)</f>
        <v>B</v>
      </c>
      <c r="AB59" s="1" t="str">
        <f aca="false">Z59&amp;" "&amp;AA59</f>
        <v>FC B</v>
      </c>
    </row>
    <row r="60" customFormat="false" ht="15" hidden="false" customHeight="true" outlineLevel="0" collapsed="false">
      <c r="A60" s="1" t="s">
        <v>53</v>
      </c>
      <c r="B60" s="21" t="n">
        <v>46258</v>
      </c>
      <c r="C60" s="1" t="s">
        <v>54</v>
      </c>
      <c r="D60" s="1" t="s">
        <v>138</v>
      </c>
      <c r="E60" s="1" t="s">
        <v>56</v>
      </c>
      <c r="F60" s="1" t="s">
        <v>57</v>
      </c>
      <c r="G60" s="1" t="s">
        <v>10</v>
      </c>
      <c r="H60" s="1" t="s">
        <v>11</v>
      </c>
      <c r="I60" s="22" t="n">
        <v>39669.42</v>
      </c>
      <c r="J60" s="23" t="n">
        <v>21</v>
      </c>
      <c r="K60" s="22" t="n">
        <v>8330.58</v>
      </c>
      <c r="L60" s="22" t="n">
        <v>0</v>
      </c>
      <c r="M60" s="22" t="n">
        <v>0</v>
      </c>
      <c r="N60" s="22" t="n">
        <v>48000</v>
      </c>
      <c r="Z60" s="1" t="str">
        <f aca="false">LEFT(D60,FIND(" ",D60)-1)</f>
        <v>FC</v>
      </c>
      <c r="AA60" s="1" t="str">
        <f aca="false">MID(D60,FIND(" ",D60)+1,1)</f>
        <v>B</v>
      </c>
      <c r="AB60" s="1" t="str">
        <f aca="false">Z60&amp;" "&amp;AA60</f>
        <v>FC B</v>
      </c>
    </row>
    <row r="61" customFormat="false" ht="15" hidden="false" customHeight="true" outlineLevel="0" collapsed="false">
      <c r="A61" s="1" t="s">
        <v>53</v>
      </c>
      <c r="B61" s="21" t="n">
        <v>46258</v>
      </c>
      <c r="C61" s="1" t="s">
        <v>54</v>
      </c>
      <c r="D61" s="1" t="s">
        <v>139</v>
      </c>
      <c r="E61" s="1" t="s">
        <v>56</v>
      </c>
      <c r="F61" s="1" t="s">
        <v>57</v>
      </c>
      <c r="G61" s="1" t="s">
        <v>10</v>
      </c>
      <c r="H61" s="1" t="s">
        <v>11</v>
      </c>
      <c r="I61" s="22" t="n">
        <v>8842.98</v>
      </c>
      <c r="J61" s="23" t="n">
        <v>21</v>
      </c>
      <c r="K61" s="22" t="n">
        <v>1857.02</v>
      </c>
      <c r="L61" s="22" t="n">
        <v>0</v>
      </c>
      <c r="M61" s="22" t="n">
        <v>0</v>
      </c>
      <c r="N61" s="22" t="n">
        <v>10700</v>
      </c>
      <c r="Z61" s="1" t="str">
        <f aca="false">LEFT(D61,FIND(" ",D61)-1)</f>
        <v>FC</v>
      </c>
      <c r="AA61" s="1" t="str">
        <f aca="false">MID(D61,FIND(" ",D61)+1,1)</f>
        <v>B</v>
      </c>
      <c r="AB61" s="1" t="str">
        <f aca="false">Z61&amp;" "&amp;AA61</f>
        <v>FC B</v>
      </c>
    </row>
    <row r="62" customFormat="false" ht="15" hidden="false" customHeight="true" outlineLevel="0" collapsed="false">
      <c r="A62" s="1" t="s">
        <v>53</v>
      </c>
      <c r="B62" s="21" t="n">
        <v>46258</v>
      </c>
      <c r="C62" s="1" t="s">
        <v>54</v>
      </c>
      <c r="D62" s="1" t="s">
        <v>140</v>
      </c>
      <c r="E62" s="1" t="s">
        <v>56</v>
      </c>
      <c r="F62" s="1" t="s">
        <v>57</v>
      </c>
      <c r="G62" s="1" t="s">
        <v>10</v>
      </c>
      <c r="H62" s="1" t="s">
        <v>11</v>
      </c>
      <c r="I62" s="22" t="n">
        <v>5950.41</v>
      </c>
      <c r="J62" s="23" t="n">
        <v>21</v>
      </c>
      <c r="K62" s="22" t="n">
        <v>1249.59</v>
      </c>
      <c r="L62" s="22" t="n">
        <v>0</v>
      </c>
      <c r="M62" s="22" t="n">
        <v>0</v>
      </c>
      <c r="N62" s="22" t="n">
        <v>7200</v>
      </c>
      <c r="Z62" s="1" t="str">
        <f aca="false">LEFT(D62,FIND(" ",D62)-1)</f>
        <v>FC</v>
      </c>
      <c r="AA62" s="1" t="str">
        <f aca="false">MID(D62,FIND(" ",D62)+1,1)</f>
        <v>B</v>
      </c>
      <c r="AB62" s="1" t="str">
        <f aca="false">Z62&amp;" "&amp;AA62</f>
        <v>FC B</v>
      </c>
    </row>
    <row r="63" customFormat="false" ht="15" hidden="false" customHeight="true" outlineLevel="0" collapsed="false">
      <c r="A63" s="1" t="s">
        <v>53</v>
      </c>
      <c r="B63" s="21" t="n">
        <v>46258</v>
      </c>
      <c r="C63" s="1" t="s">
        <v>54</v>
      </c>
      <c r="D63" s="1" t="s">
        <v>141</v>
      </c>
      <c r="E63" s="1" t="s">
        <v>56</v>
      </c>
      <c r="F63" s="1" t="s">
        <v>57</v>
      </c>
      <c r="G63" s="1" t="s">
        <v>10</v>
      </c>
      <c r="H63" s="1" t="s">
        <v>11</v>
      </c>
      <c r="I63" s="22" t="n">
        <v>13636.36</v>
      </c>
      <c r="J63" s="23" t="n">
        <v>21</v>
      </c>
      <c r="K63" s="22" t="n">
        <v>2863.64</v>
      </c>
      <c r="L63" s="22" t="n">
        <v>0</v>
      </c>
      <c r="M63" s="22" t="n">
        <v>0</v>
      </c>
      <c r="N63" s="22" t="n">
        <v>16500</v>
      </c>
      <c r="Z63" s="1" t="str">
        <f aca="false">LEFT(D63,FIND(" ",D63)-1)</f>
        <v>FC</v>
      </c>
      <c r="AA63" s="1" t="str">
        <f aca="false">MID(D63,FIND(" ",D63)+1,1)</f>
        <v>B</v>
      </c>
      <c r="AB63" s="1" t="str">
        <f aca="false">Z63&amp;" "&amp;AA63</f>
        <v>FC B</v>
      </c>
    </row>
    <row r="64" customFormat="false" ht="15" hidden="false" customHeight="true" outlineLevel="0" collapsed="false">
      <c r="A64" s="1" t="s">
        <v>53</v>
      </c>
      <c r="B64" s="21" t="n">
        <v>46258</v>
      </c>
      <c r="C64" s="1" t="s">
        <v>54</v>
      </c>
      <c r="D64" s="1" t="s">
        <v>142</v>
      </c>
      <c r="E64" s="1" t="s">
        <v>56</v>
      </c>
      <c r="F64" s="1" t="s">
        <v>57</v>
      </c>
      <c r="G64" s="1" t="s">
        <v>10</v>
      </c>
      <c r="H64" s="1" t="s">
        <v>11</v>
      </c>
      <c r="I64" s="22" t="n">
        <v>85950.41</v>
      </c>
      <c r="J64" s="23" t="n">
        <v>21</v>
      </c>
      <c r="K64" s="22" t="n">
        <v>18049.59</v>
      </c>
      <c r="L64" s="22" t="n">
        <v>0</v>
      </c>
      <c r="M64" s="22" t="n">
        <v>0</v>
      </c>
      <c r="N64" s="22" t="n">
        <v>104000</v>
      </c>
      <c r="Z64" s="1" t="str">
        <f aca="false">LEFT(D64,FIND(" ",D64)-1)</f>
        <v>FC</v>
      </c>
      <c r="AA64" s="1" t="str">
        <f aca="false">MID(D64,FIND(" ",D64)+1,1)</f>
        <v>B</v>
      </c>
      <c r="AB64" s="1" t="str">
        <f aca="false">Z64&amp;" "&amp;AA64</f>
        <v>FC B</v>
      </c>
    </row>
    <row r="65" customFormat="false" ht="15" hidden="false" customHeight="true" outlineLevel="0" collapsed="false">
      <c r="A65" s="1" t="s">
        <v>53</v>
      </c>
      <c r="B65" s="21" t="n">
        <v>46258</v>
      </c>
      <c r="C65" s="1" t="s">
        <v>54</v>
      </c>
      <c r="D65" s="1" t="s">
        <v>143</v>
      </c>
      <c r="E65" s="1" t="s">
        <v>56</v>
      </c>
      <c r="F65" s="1" t="s">
        <v>57</v>
      </c>
      <c r="G65" s="1" t="s">
        <v>10</v>
      </c>
      <c r="H65" s="1" t="s">
        <v>11</v>
      </c>
      <c r="I65" s="22" t="n">
        <v>8264.46</v>
      </c>
      <c r="J65" s="23" t="n">
        <v>21</v>
      </c>
      <c r="K65" s="22" t="n">
        <v>1735.54</v>
      </c>
      <c r="L65" s="22" t="n">
        <v>0</v>
      </c>
      <c r="M65" s="22" t="n">
        <v>0</v>
      </c>
      <c r="N65" s="22" t="n">
        <v>10000</v>
      </c>
      <c r="Z65" s="1" t="str">
        <f aca="false">LEFT(D65,FIND(" ",D65)-1)</f>
        <v>FC</v>
      </c>
      <c r="AA65" s="1" t="str">
        <f aca="false">MID(D65,FIND(" ",D65)+1,1)</f>
        <v>B</v>
      </c>
      <c r="AB65" s="1" t="str">
        <f aca="false">Z65&amp;" "&amp;AA65</f>
        <v>FC B</v>
      </c>
    </row>
    <row r="66" customFormat="false" ht="15" hidden="false" customHeight="true" outlineLevel="0" collapsed="false">
      <c r="A66" s="1" t="s">
        <v>53</v>
      </c>
      <c r="B66" s="21" t="n">
        <v>46258</v>
      </c>
      <c r="C66" s="1" t="s">
        <v>54</v>
      </c>
      <c r="D66" s="1" t="s">
        <v>144</v>
      </c>
      <c r="E66" s="1" t="s">
        <v>56</v>
      </c>
      <c r="F66" s="1" t="s">
        <v>57</v>
      </c>
      <c r="G66" s="1" t="s">
        <v>10</v>
      </c>
      <c r="H66" s="1" t="s">
        <v>11</v>
      </c>
      <c r="I66" s="22" t="n">
        <v>5950.41</v>
      </c>
      <c r="J66" s="23" t="n">
        <v>21</v>
      </c>
      <c r="K66" s="22" t="n">
        <v>1249.59</v>
      </c>
      <c r="L66" s="22" t="n">
        <v>0</v>
      </c>
      <c r="M66" s="22" t="n">
        <v>0</v>
      </c>
      <c r="N66" s="22" t="n">
        <v>7200</v>
      </c>
      <c r="Z66" s="1" t="str">
        <f aca="false">LEFT(D66,FIND(" ",D66)-1)</f>
        <v>FC</v>
      </c>
      <c r="AA66" s="1" t="str">
        <f aca="false">MID(D66,FIND(" ",D66)+1,1)</f>
        <v>B</v>
      </c>
      <c r="AB66" s="1" t="str">
        <f aca="false">Z66&amp;" "&amp;AA66</f>
        <v>FC B</v>
      </c>
    </row>
    <row r="67" customFormat="false" ht="15" hidden="false" customHeight="true" outlineLevel="0" collapsed="false">
      <c r="A67" s="1" t="s">
        <v>53</v>
      </c>
      <c r="B67" s="21" t="n">
        <v>46258</v>
      </c>
      <c r="C67" s="1" t="s">
        <v>54</v>
      </c>
      <c r="D67" s="1" t="s">
        <v>145</v>
      </c>
      <c r="E67" s="1" t="s">
        <v>56</v>
      </c>
      <c r="F67" s="1" t="s">
        <v>57</v>
      </c>
      <c r="G67" s="1" t="s">
        <v>10</v>
      </c>
      <c r="H67" s="1" t="s">
        <v>11</v>
      </c>
      <c r="I67" s="22" t="n">
        <v>5950.41</v>
      </c>
      <c r="J67" s="23" t="n">
        <v>21</v>
      </c>
      <c r="K67" s="22" t="n">
        <v>1249.59</v>
      </c>
      <c r="L67" s="22" t="n">
        <v>0</v>
      </c>
      <c r="M67" s="22" t="n">
        <v>0</v>
      </c>
      <c r="N67" s="22" t="n">
        <v>7200</v>
      </c>
      <c r="Z67" s="1" t="str">
        <f aca="false">LEFT(D67,FIND(" ",D67)-1)</f>
        <v>FC</v>
      </c>
      <c r="AA67" s="1" t="str">
        <f aca="false">MID(D67,FIND(" ",D67)+1,1)</f>
        <v>B</v>
      </c>
      <c r="AB67" s="1" t="str">
        <f aca="false">Z67&amp;" "&amp;AA67</f>
        <v>FC B</v>
      </c>
    </row>
    <row r="68" customFormat="false" ht="15" hidden="false" customHeight="true" outlineLevel="0" collapsed="false">
      <c r="A68" s="1" t="s">
        <v>53</v>
      </c>
      <c r="B68" s="21" t="n">
        <v>46258</v>
      </c>
      <c r="C68" s="1" t="s">
        <v>54</v>
      </c>
      <c r="D68" s="1" t="s">
        <v>146</v>
      </c>
      <c r="E68" s="1" t="s">
        <v>56</v>
      </c>
      <c r="F68" s="1" t="s">
        <v>57</v>
      </c>
      <c r="G68" s="1" t="s">
        <v>10</v>
      </c>
      <c r="H68" s="1" t="s">
        <v>11</v>
      </c>
      <c r="I68" s="22" t="n">
        <v>68760.33</v>
      </c>
      <c r="J68" s="23" t="n">
        <v>21</v>
      </c>
      <c r="K68" s="22" t="n">
        <v>14439.67</v>
      </c>
      <c r="L68" s="22" t="n">
        <v>0</v>
      </c>
      <c r="M68" s="22" t="n">
        <v>0</v>
      </c>
      <c r="N68" s="22" t="n">
        <v>83200</v>
      </c>
      <c r="Z68" s="1" t="str">
        <f aca="false">LEFT(D68,FIND(" ",D68)-1)</f>
        <v>FC</v>
      </c>
      <c r="AA68" s="1" t="str">
        <f aca="false">MID(D68,FIND(" ",D68)+1,1)</f>
        <v>B</v>
      </c>
      <c r="AB68" s="1" t="str">
        <f aca="false">Z68&amp;" "&amp;AA68</f>
        <v>FC B</v>
      </c>
    </row>
    <row r="69" customFormat="false" ht="15" hidden="false" customHeight="true" outlineLevel="0" collapsed="false">
      <c r="A69" s="1" t="s">
        <v>53</v>
      </c>
      <c r="B69" s="21" t="n">
        <v>46258</v>
      </c>
      <c r="C69" s="1" t="s">
        <v>54</v>
      </c>
      <c r="D69" s="1" t="s">
        <v>147</v>
      </c>
      <c r="E69" s="1" t="s">
        <v>56</v>
      </c>
      <c r="F69" s="1" t="s">
        <v>57</v>
      </c>
      <c r="G69" s="1" t="s">
        <v>10</v>
      </c>
      <c r="H69" s="1" t="s">
        <v>11</v>
      </c>
      <c r="I69" s="22" t="n">
        <v>8925.62</v>
      </c>
      <c r="J69" s="23" t="n">
        <v>21</v>
      </c>
      <c r="K69" s="22" t="n">
        <v>1874.38</v>
      </c>
      <c r="L69" s="22" t="n">
        <v>0</v>
      </c>
      <c r="M69" s="22" t="n">
        <v>0</v>
      </c>
      <c r="N69" s="22" t="n">
        <v>10800</v>
      </c>
      <c r="Z69" s="1" t="str">
        <f aca="false">LEFT(D69,FIND(" ",D69)-1)</f>
        <v>FC</v>
      </c>
      <c r="AA69" s="1" t="str">
        <f aca="false">MID(D69,FIND(" ",D69)+1,1)</f>
        <v>B</v>
      </c>
      <c r="AB69" s="1" t="str">
        <f aca="false">Z69&amp;" "&amp;AA69</f>
        <v>FC B</v>
      </c>
    </row>
    <row r="70" customFormat="false" ht="15" hidden="false" customHeight="true" outlineLevel="0" collapsed="false">
      <c r="A70" s="1" t="s">
        <v>53</v>
      </c>
      <c r="B70" s="21" t="n">
        <v>46258</v>
      </c>
      <c r="C70" s="1" t="s">
        <v>54</v>
      </c>
      <c r="D70" s="1" t="s">
        <v>148</v>
      </c>
      <c r="E70" s="1" t="s">
        <v>56</v>
      </c>
      <c r="F70" s="1" t="s">
        <v>57</v>
      </c>
      <c r="G70" s="1" t="s">
        <v>10</v>
      </c>
      <c r="H70" s="1" t="s">
        <v>11</v>
      </c>
      <c r="I70" s="22" t="n">
        <v>90082.64</v>
      </c>
      <c r="J70" s="23" t="n">
        <v>21</v>
      </c>
      <c r="K70" s="22" t="n">
        <v>18917.36</v>
      </c>
      <c r="L70" s="22" t="n">
        <v>0</v>
      </c>
      <c r="M70" s="22" t="n">
        <v>0</v>
      </c>
      <c r="N70" s="22" t="n">
        <v>109000</v>
      </c>
      <c r="Z70" s="1" t="str">
        <f aca="false">LEFT(D70,FIND(" ",D70)-1)</f>
        <v>FC</v>
      </c>
      <c r="AA70" s="1" t="str">
        <f aca="false">MID(D70,FIND(" ",D70)+1,1)</f>
        <v>B</v>
      </c>
      <c r="AB70" s="1" t="str">
        <f aca="false">Z70&amp;" "&amp;AA70</f>
        <v>FC B</v>
      </c>
    </row>
    <row r="71" customFormat="false" ht="15" hidden="false" customHeight="true" outlineLevel="0" collapsed="false">
      <c r="A71" s="1" t="s">
        <v>53</v>
      </c>
      <c r="B71" s="21" t="n">
        <v>46258</v>
      </c>
      <c r="C71" s="1" t="s">
        <v>54</v>
      </c>
      <c r="D71" s="1" t="s">
        <v>149</v>
      </c>
      <c r="E71" s="1" t="s">
        <v>56</v>
      </c>
      <c r="F71" s="1" t="s">
        <v>57</v>
      </c>
      <c r="G71" s="1" t="s">
        <v>10</v>
      </c>
      <c r="H71" s="1" t="s">
        <v>11</v>
      </c>
      <c r="I71" s="22" t="n">
        <v>56033.06</v>
      </c>
      <c r="J71" s="23" t="n">
        <v>21</v>
      </c>
      <c r="K71" s="22" t="n">
        <v>11766.94</v>
      </c>
      <c r="L71" s="22" t="n">
        <v>0</v>
      </c>
      <c r="M71" s="22" t="n">
        <v>0</v>
      </c>
      <c r="N71" s="22" t="n">
        <v>67800</v>
      </c>
      <c r="Z71" s="1" t="str">
        <f aca="false">LEFT(D71,FIND(" ",D71)-1)</f>
        <v>FC</v>
      </c>
      <c r="AA71" s="1" t="str">
        <f aca="false">MID(D71,FIND(" ",D71)+1,1)</f>
        <v>B</v>
      </c>
      <c r="AB71" s="1" t="str">
        <f aca="false">Z71&amp;" "&amp;AA71</f>
        <v>FC B</v>
      </c>
    </row>
    <row r="72" customFormat="false" ht="15" hidden="false" customHeight="true" outlineLevel="0" collapsed="false">
      <c r="A72" s="1" t="s">
        <v>53</v>
      </c>
      <c r="B72" s="21" t="n">
        <v>46258</v>
      </c>
      <c r="C72" s="1" t="s">
        <v>54</v>
      </c>
      <c r="D72" s="1" t="s">
        <v>150</v>
      </c>
      <c r="E72" s="1" t="s">
        <v>56</v>
      </c>
      <c r="F72" s="1" t="s">
        <v>57</v>
      </c>
      <c r="G72" s="1" t="s">
        <v>10</v>
      </c>
      <c r="H72" s="1" t="s">
        <v>11</v>
      </c>
      <c r="I72" s="22" t="n">
        <v>22727.27</v>
      </c>
      <c r="J72" s="23" t="n">
        <v>21</v>
      </c>
      <c r="K72" s="22" t="n">
        <v>4772.73</v>
      </c>
      <c r="L72" s="22" t="n">
        <v>0</v>
      </c>
      <c r="M72" s="22" t="n">
        <v>0</v>
      </c>
      <c r="N72" s="22" t="n">
        <v>27500</v>
      </c>
      <c r="Z72" s="1" t="str">
        <f aca="false">LEFT(D72,FIND(" ",D72)-1)</f>
        <v>FC</v>
      </c>
      <c r="AA72" s="1" t="str">
        <f aca="false">MID(D72,FIND(" ",D72)+1,1)</f>
        <v>B</v>
      </c>
      <c r="AB72" s="1" t="str">
        <f aca="false">Z72&amp;" "&amp;AA72</f>
        <v>FC B</v>
      </c>
    </row>
    <row r="73" customFormat="false" ht="15" hidden="false" customHeight="true" outlineLevel="0" collapsed="false">
      <c r="A73" s="1" t="s">
        <v>53</v>
      </c>
      <c r="B73" s="21" t="n">
        <v>46258</v>
      </c>
      <c r="C73" s="1" t="s">
        <v>54</v>
      </c>
      <c r="D73" s="1" t="s">
        <v>151</v>
      </c>
      <c r="E73" s="1" t="s">
        <v>56</v>
      </c>
      <c r="F73" s="1" t="s">
        <v>57</v>
      </c>
      <c r="G73" s="1" t="s">
        <v>10</v>
      </c>
      <c r="H73" s="1" t="s">
        <v>11</v>
      </c>
      <c r="I73" s="22" t="n">
        <v>43719.01</v>
      </c>
      <c r="J73" s="23" t="n">
        <v>21</v>
      </c>
      <c r="K73" s="22" t="n">
        <v>9180.99</v>
      </c>
      <c r="L73" s="22" t="n">
        <v>0</v>
      </c>
      <c r="M73" s="22" t="n">
        <v>0</v>
      </c>
      <c r="N73" s="22" t="n">
        <v>52900</v>
      </c>
      <c r="Z73" s="1" t="str">
        <f aca="false">LEFT(D73,FIND(" ",D73)-1)</f>
        <v>FC</v>
      </c>
      <c r="AA73" s="1" t="str">
        <f aca="false">MID(D73,FIND(" ",D73)+1,1)</f>
        <v>B</v>
      </c>
      <c r="AB73" s="1" t="str">
        <f aca="false">Z73&amp;" "&amp;AA73</f>
        <v>FC B</v>
      </c>
    </row>
    <row r="74" customFormat="false" ht="15" hidden="false" customHeight="true" outlineLevel="0" collapsed="false">
      <c r="A74" s="1" t="s">
        <v>53</v>
      </c>
      <c r="B74" s="21" t="n">
        <v>46258</v>
      </c>
      <c r="C74" s="1" t="s">
        <v>54</v>
      </c>
      <c r="D74" s="1" t="s">
        <v>152</v>
      </c>
      <c r="E74" s="1" t="s">
        <v>56</v>
      </c>
      <c r="F74" s="1" t="s">
        <v>57</v>
      </c>
      <c r="G74" s="1" t="s">
        <v>10</v>
      </c>
      <c r="H74" s="1" t="s">
        <v>11</v>
      </c>
      <c r="I74" s="22" t="n">
        <v>44628.1</v>
      </c>
      <c r="J74" s="23" t="n">
        <v>21</v>
      </c>
      <c r="K74" s="22" t="n">
        <v>9371.9</v>
      </c>
      <c r="L74" s="22" t="n">
        <v>0</v>
      </c>
      <c r="M74" s="22" t="n">
        <v>0</v>
      </c>
      <c r="N74" s="22" t="n">
        <v>54000</v>
      </c>
      <c r="Z74" s="1" t="str">
        <f aca="false">LEFT(D74,FIND(" ",D74)-1)</f>
        <v>FC</v>
      </c>
      <c r="AA74" s="1" t="str">
        <f aca="false">MID(D74,FIND(" ",D74)+1,1)</f>
        <v>B</v>
      </c>
      <c r="AB74" s="1" t="str">
        <f aca="false">Z74&amp;" "&amp;AA74</f>
        <v>FC B</v>
      </c>
    </row>
    <row r="75" customFormat="false" ht="15" hidden="false" customHeight="true" outlineLevel="0" collapsed="false">
      <c r="A75" s="1" t="s">
        <v>53</v>
      </c>
      <c r="B75" s="21" t="n">
        <v>46258</v>
      </c>
      <c r="C75" s="1" t="s">
        <v>54</v>
      </c>
      <c r="D75" s="1" t="s">
        <v>153</v>
      </c>
      <c r="E75" s="1" t="s">
        <v>56</v>
      </c>
      <c r="F75" s="1" t="s">
        <v>57</v>
      </c>
      <c r="G75" s="1" t="s">
        <v>10</v>
      </c>
      <c r="H75" s="1" t="s">
        <v>11</v>
      </c>
      <c r="I75" s="22" t="n">
        <v>15454.55</v>
      </c>
      <c r="J75" s="23" t="n">
        <v>21</v>
      </c>
      <c r="K75" s="22" t="n">
        <v>3245.45</v>
      </c>
      <c r="L75" s="22" t="n">
        <v>0</v>
      </c>
      <c r="M75" s="22" t="n">
        <v>0</v>
      </c>
      <c r="N75" s="22" t="n">
        <v>18700</v>
      </c>
      <c r="Z75" s="1" t="str">
        <f aca="false">LEFT(D75,FIND(" ",D75)-1)</f>
        <v>FC</v>
      </c>
      <c r="AA75" s="1" t="str">
        <f aca="false">MID(D75,FIND(" ",D75)+1,1)</f>
        <v>B</v>
      </c>
      <c r="AB75" s="1" t="str">
        <f aca="false">Z75&amp;" "&amp;AA75</f>
        <v>FC B</v>
      </c>
    </row>
    <row r="76" customFormat="false" ht="15" hidden="false" customHeight="true" outlineLevel="0" collapsed="false">
      <c r="A76" s="1" t="s">
        <v>53</v>
      </c>
      <c r="B76" s="21" t="n">
        <v>46258</v>
      </c>
      <c r="C76" s="1" t="s">
        <v>54</v>
      </c>
      <c r="D76" s="1" t="s">
        <v>154</v>
      </c>
      <c r="E76" s="1" t="s">
        <v>56</v>
      </c>
      <c r="F76" s="1" t="s">
        <v>57</v>
      </c>
      <c r="G76" s="1" t="s">
        <v>10</v>
      </c>
      <c r="H76" s="1" t="s">
        <v>11</v>
      </c>
      <c r="I76" s="22" t="n">
        <v>14876.03</v>
      </c>
      <c r="J76" s="23" t="n">
        <v>21</v>
      </c>
      <c r="K76" s="22" t="n">
        <v>3123.97</v>
      </c>
      <c r="L76" s="22" t="n">
        <v>0</v>
      </c>
      <c r="M76" s="22" t="n">
        <v>0</v>
      </c>
      <c r="N76" s="22" t="n">
        <v>18000</v>
      </c>
      <c r="Z76" s="1" t="str">
        <f aca="false">LEFT(D76,FIND(" ",D76)-1)</f>
        <v>FC</v>
      </c>
      <c r="AA76" s="1" t="str">
        <f aca="false">MID(D76,FIND(" ",D76)+1,1)</f>
        <v>B</v>
      </c>
      <c r="AB76" s="1" t="str">
        <f aca="false">Z76&amp;" "&amp;AA76</f>
        <v>FC B</v>
      </c>
    </row>
    <row r="77" customFormat="false" ht="15" hidden="false" customHeight="true" outlineLevel="0" collapsed="false">
      <c r="A77" s="1" t="s">
        <v>53</v>
      </c>
      <c r="B77" s="21" t="n">
        <v>46258</v>
      </c>
      <c r="C77" s="1" t="s">
        <v>54</v>
      </c>
      <c r="D77" s="1" t="s">
        <v>155</v>
      </c>
      <c r="E77" s="1" t="s">
        <v>56</v>
      </c>
      <c r="F77" s="1" t="s">
        <v>57</v>
      </c>
      <c r="G77" s="1" t="s">
        <v>10</v>
      </c>
      <c r="H77" s="1" t="s">
        <v>11</v>
      </c>
      <c r="I77" s="22" t="n">
        <v>17561.98</v>
      </c>
      <c r="J77" s="23" t="n">
        <v>21</v>
      </c>
      <c r="K77" s="22" t="n">
        <v>3688.02</v>
      </c>
      <c r="L77" s="22" t="n">
        <v>0</v>
      </c>
      <c r="M77" s="22" t="n">
        <v>0</v>
      </c>
      <c r="N77" s="22" t="n">
        <v>21250</v>
      </c>
      <c r="Z77" s="1" t="str">
        <f aca="false">LEFT(D77,FIND(" ",D77)-1)</f>
        <v>FC</v>
      </c>
      <c r="AA77" s="1" t="str">
        <f aca="false">MID(D77,FIND(" ",D77)+1,1)</f>
        <v>B</v>
      </c>
      <c r="AB77" s="1" t="str">
        <f aca="false">Z77&amp;" "&amp;AA77</f>
        <v>FC B</v>
      </c>
    </row>
    <row r="78" customFormat="false" ht="15" hidden="false" customHeight="true" outlineLevel="0" collapsed="false">
      <c r="A78" s="1" t="s">
        <v>53</v>
      </c>
      <c r="B78" s="21" t="n">
        <v>46258</v>
      </c>
      <c r="C78" s="1" t="s">
        <v>54</v>
      </c>
      <c r="D78" s="1" t="s">
        <v>156</v>
      </c>
      <c r="E78" s="1" t="s">
        <v>56</v>
      </c>
      <c r="F78" s="1" t="s">
        <v>57</v>
      </c>
      <c r="G78" s="1" t="s">
        <v>10</v>
      </c>
      <c r="H78" s="1" t="s">
        <v>11</v>
      </c>
      <c r="I78" s="22" t="n">
        <v>20743.8</v>
      </c>
      <c r="J78" s="23" t="n">
        <v>21</v>
      </c>
      <c r="K78" s="22" t="n">
        <v>4356.2</v>
      </c>
      <c r="L78" s="22" t="n">
        <v>0</v>
      </c>
      <c r="M78" s="22" t="n">
        <v>0</v>
      </c>
      <c r="N78" s="22" t="n">
        <v>25100</v>
      </c>
      <c r="Z78" s="1" t="str">
        <f aca="false">LEFT(D78,FIND(" ",D78)-1)</f>
        <v>FC</v>
      </c>
      <c r="AA78" s="1" t="str">
        <f aca="false">MID(D78,FIND(" ",D78)+1,1)</f>
        <v>B</v>
      </c>
      <c r="AB78" s="1" t="str">
        <f aca="false">Z78&amp;" "&amp;AA78</f>
        <v>FC B</v>
      </c>
    </row>
    <row r="79" customFormat="false" ht="15" hidden="false" customHeight="true" outlineLevel="0" collapsed="false">
      <c r="A79" s="1" t="s">
        <v>53</v>
      </c>
      <c r="B79" s="21" t="n">
        <v>46258</v>
      </c>
      <c r="C79" s="1" t="s">
        <v>54</v>
      </c>
      <c r="D79" s="1" t="s">
        <v>157</v>
      </c>
      <c r="E79" s="1" t="s">
        <v>56</v>
      </c>
      <c r="F79" s="1" t="s">
        <v>57</v>
      </c>
      <c r="G79" s="1" t="s">
        <v>10</v>
      </c>
      <c r="H79" s="1" t="s">
        <v>11</v>
      </c>
      <c r="I79" s="22" t="n">
        <v>29752.07</v>
      </c>
      <c r="J79" s="23" t="n">
        <v>21</v>
      </c>
      <c r="K79" s="22" t="n">
        <v>6247.93</v>
      </c>
      <c r="L79" s="22" t="n">
        <v>0</v>
      </c>
      <c r="M79" s="22" t="n">
        <v>0</v>
      </c>
      <c r="N79" s="22" t="n">
        <v>36000</v>
      </c>
      <c r="Z79" s="1" t="str">
        <f aca="false">LEFT(D79,FIND(" ",D79)-1)</f>
        <v>FC</v>
      </c>
      <c r="AA79" s="1" t="str">
        <f aca="false">MID(D79,FIND(" ",D79)+1,1)</f>
        <v>B</v>
      </c>
      <c r="AB79" s="1" t="str">
        <f aca="false">Z79&amp;" "&amp;AA79</f>
        <v>FC B</v>
      </c>
    </row>
    <row r="80" customFormat="false" ht="15" hidden="false" customHeight="true" outlineLevel="0" collapsed="false">
      <c r="A80" s="1" t="s">
        <v>53</v>
      </c>
      <c r="B80" s="21" t="n">
        <v>46259</v>
      </c>
      <c r="C80" s="1" t="s">
        <v>54</v>
      </c>
      <c r="D80" s="1" t="s">
        <v>158</v>
      </c>
      <c r="E80" s="1" t="s">
        <v>159</v>
      </c>
      <c r="F80" s="1" t="s">
        <v>57</v>
      </c>
      <c r="G80" s="1" t="s">
        <v>8</v>
      </c>
      <c r="H80" s="1" t="s">
        <v>9</v>
      </c>
      <c r="I80" s="22" t="n">
        <v>193388.43</v>
      </c>
      <c r="J80" s="23" t="n">
        <v>21</v>
      </c>
      <c r="K80" s="22" t="n">
        <v>40611.57</v>
      </c>
      <c r="L80" s="22" t="n">
        <v>12000</v>
      </c>
      <c r="M80" s="22" t="n">
        <v>0</v>
      </c>
      <c r="N80" s="22" t="n">
        <v>246000</v>
      </c>
      <c r="Z80" s="1" t="str">
        <f aca="false">LEFT(D80,FIND(" ",D80)-1)</f>
        <v>FC</v>
      </c>
      <c r="AA80" s="1" t="str">
        <f aca="false">MID(D80,FIND(" ",D80)+1,1)</f>
        <v>B</v>
      </c>
      <c r="AB80" s="1" t="str">
        <f aca="false">Z80&amp;" "&amp;AA80</f>
        <v>FC B</v>
      </c>
    </row>
    <row r="81" customFormat="false" ht="15" hidden="false" customHeight="true" outlineLevel="0" collapsed="false">
      <c r="A81" s="1" t="s">
        <v>53</v>
      </c>
      <c r="B81" s="21" t="n">
        <v>46260</v>
      </c>
      <c r="C81" s="1" t="s">
        <v>54</v>
      </c>
      <c r="D81" s="1" t="s">
        <v>160</v>
      </c>
      <c r="E81" s="1" t="s">
        <v>161</v>
      </c>
      <c r="F81" s="1" t="s">
        <v>57</v>
      </c>
      <c r="G81" s="1" t="s">
        <v>8</v>
      </c>
      <c r="H81" s="1" t="s">
        <v>9</v>
      </c>
      <c r="I81" s="22" t="n">
        <v>136363.64</v>
      </c>
      <c r="J81" s="23" t="n">
        <v>21</v>
      </c>
      <c r="K81" s="22" t="n">
        <v>28636.36</v>
      </c>
      <c r="L81" s="22" t="n">
        <v>0</v>
      </c>
      <c r="M81" s="22" t="n">
        <v>0</v>
      </c>
      <c r="N81" s="22" t="n">
        <v>165000</v>
      </c>
      <c r="Z81" s="1" t="str">
        <f aca="false">LEFT(D81,FIND(" ",D81)-1)</f>
        <v>FC</v>
      </c>
      <c r="AA81" s="1" t="str">
        <f aca="false">MID(D81,FIND(" ",D81)+1,1)</f>
        <v>A</v>
      </c>
      <c r="AB81" s="1" t="str">
        <f aca="false">Z81&amp;" "&amp;AA81</f>
        <v>FC A</v>
      </c>
    </row>
    <row r="82" customFormat="false" ht="15" hidden="false" customHeight="true" outlineLevel="0" collapsed="false">
      <c r="A82" s="1" t="s">
        <v>53</v>
      </c>
      <c r="B82" s="21" t="n">
        <v>46260</v>
      </c>
      <c r="C82" s="1" t="s">
        <v>54</v>
      </c>
      <c r="D82" s="1" t="s">
        <v>162</v>
      </c>
      <c r="E82" s="1" t="s">
        <v>163</v>
      </c>
      <c r="F82" s="1" t="s">
        <v>57</v>
      </c>
      <c r="G82" s="1" t="s">
        <v>8</v>
      </c>
      <c r="H82" s="1" t="s">
        <v>9</v>
      </c>
      <c r="I82" s="22" t="n">
        <v>203305.78</v>
      </c>
      <c r="J82" s="23" t="n">
        <v>21</v>
      </c>
      <c r="K82" s="22" t="n">
        <v>42694.22</v>
      </c>
      <c r="L82" s="22" t="n">
        <v>0</v>
      </c>
      <c r="M82" s="22" t="n">
        <v>0</v>
      </c>
      <c r="N82" s="22" t="n">
        <v>246000</v>
      </c>
      <c r="Z82" s="1" t="str">
        <f aca="false">LEFT(D82,FIND(" ",D82)-1)</f>
        <v>FC</v>
      </c>
      <c r="AA82" s="1" t="str">
        <f aca="false">MID(D82,FIND(" ",D82)+1,1)</f>
        <v>A</v>
      </c>
      <c r="AB82" s="1" t="str">
        <f aca="false">Z82&amp;" "&amp;AA82</f>
        <v>FC A</v>
      </c>
    </row>
    <row r="83" customFormat="false" ht="15" hidden="false" customHeight="true" outlineLevel="0" collapsed="false">
      <c r="A83" s="1" t="s">
        <v>53</v>
      </c>
      <c r="B83" s="21" t="n">
        <v>46260</v>
      </c>
      <c r="C83" s="1" t="s">
        <v>54</v>
      </c>
      <c r="D83" s="1" t="s">
        <v>164</v>
      </c>
      <c r="E83" s="1" t="s">
        <v>165</v>
      </c>
      <c r="F83" s="1" t="s">
        <v>57</v>
      </c>
      <c r="G83" s="1" t="s">
        <v>8</v>
      </c>
      <c r="H83" s="1" t="s">
        <v>9</v>
      </c>
      <c r="I83" s="22" t="n">
        <v>226446.28</v>
      </c>
      <c r="J83" s="23" t="n">
        <v>21</v>
      </c>
      <c r="K83" s="22" t="n">
        <v>47553.72</v>
      </c>
      <c r="L83" s="22" t="n">
        <v>0</v>
      </c>
      <c r="M83" s="22" t="n">
        <v>0</v>
      </c>
      <c r="N83" s="22" t="n">
        <v>274000</v>
      </c>
      <c r="Z83" s="1" t="str">
        <f aca="false">LEFT(D83,FIND(" ",D83)-1)</f>
        <v>FC</v>
      </c>
      <c r="AA83" s="1" t="str">
        <f aca="false">MID(D83,FIND(" ",D83)+1,1)</f>
        <v>B</v>
      </c>
      <c r="AB83" s="1" t="str">
        <f aca="false">Z83&amp;" "&amp;AA83</f>
        <v>FC B</v>
      </c>
    </row>
    <row r="84" customFormat="false" ht="15" hidden="false" customHeight="true" outlineLevel="0" collapsed="false">
      <c r="A84" s="1" t="s">
        <v>53</v>
      </c>
      <c r="B84" s="21" t="n">
        <v>46262</v>
      </c>
      <c r="C84" s="1" t="s">
        <v>54</v>
      </c>
      <c r="D84" s="1" t="s">
        <v>166</v>
      </c>
      <c r="E84" s="1" t="s">
        <v>167</v>
      </c>
      <c r="F84" s="1" t="s">
        <v>57</v>
      </c>
      <c r="G84" s="1" t="s">
        <v>8</v>
      </c>
      <c r="H84" s="1" t="s">
        <v>9</v>
      </c>
      <c r="I84" s="22" t="n">
        <v>1841983.47</v>
      </c>
      <c r="J84" s="23" t="n">
        <v>21</v>
      </c>
      <c r="K84" s="22" t="n">
        <v>386816.53</v>
      </c>
      <c r="L84" s="22" t="n">
        <v>0</v>
      </c>
      <c r="M84" s="22" t="n">
        <v>0</v>
      </c>
      <c r="N84" s="22" t="n">
        <v>2228800</v>
      </c>
      <c r="Z84" s="1" t="str">
        <f aca="false">LEFT(D84,FIND(" ",D84)-1)</f>
        <v>FC</v>
      </c>
      <c r="AA84" s="1" t="str">
        <f aca="false">MID(D84,FIND(" ",D84)+1,1)</f>
        <v>B</v>
      </c>
      <c r="AB84" s="1" t="str">
        <f aca="false">Z84&amp;" "&amp;AA84</f>
        <v>FC B</v>
      </c>
    </row>
  </sheetData>
  <autoFilter ref="A1:Y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2026-09-24T14:53:05Z</dcterms:created>
  <dc:creator>openpyxl</dc:creator>
  <dc:description/>
  <dc:language>en-US</dc:language>
  <cp:lastModifiedBy/>
  <dcterms:modified xsi:type="dcterms:W3CDTF">2026-09-24T15:31:31Z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